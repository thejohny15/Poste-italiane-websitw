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osteitaliane.sharepoint.com/teams/CentroStudidiGruppo2/Shared Documents/CSG/4. Modelli Quantitativi/Codici R/R - EO 1Q2026/"/>
    </mc:Choice>
  </mc:AlternateContent>
  <xr:revisionPtr revIDLastSave="0" documentId="8_{7B40D356-4C96-4809-B79A-6FAEBB831921}" xr6:coauthVersionLast="47" xr6:coauthVersionMax="47" xr10:uidLastSave="{00000000-0000-0000-0000-000000000000}"/>
  <bookViews>
    <workbookView xWindow="28680" yWindow="-120" windowWidth="29040" windowHeight="15720" activeTab="1" xr2:uid="{5A3B15A0-50BF-415C-856D-7166FF5A310E}"/>
  </bookViews>
  <sheets>
    <sheet name="data" sheetId="1" r:id="rId1"/>
    <sheet name="chart" sheetId="2" r:id="rId2"/>
  </sheets>
  <definedNames>
    <definedName name="_xlnm._FilterDatabase" localSheetId="0" hidden="1">data!$A$2:$T$2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2" l="1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K50" i="2"/>
  <c r="J50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2" i="2"/>
  <c r="I14" i="2"/>
  <c r="F9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4" i="2"/>
  <c r="F5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3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3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C1" i="2"/>
  <c r="D1" i="2"/>
  <c r="E1" i="2"/>
</calcChain>
</file>

<file path=xl/sharedStrings.xml><?xml version="1.0" encoding="utf-8"?>
<sst xmlns="http://schemas.openxmlformats.org/spreadsheetml/2006/main" count="100" uniqueCount="27">
  <si>
    <t>country</t>
  </si>
  <si>
    <t>country_code</t>
  </si>
  <si>
    <t>date</t>
  </si>
  <si>
    <t>for_lt_total_pos</t>
  </si>
  <si>
    <t>for_lt_total_net</t>
  </si>
  <si>
    <t>for_lt_total_valchg</t>
  </si>
  <si>
    <t>for_lt_treas_pos</t>
  </si>
  <si>
    <t>for_lt_treas_net</t>
  </si>
  <si>
    <t>for_lt_treas_valchg</t>
  </si>
  <si>
    <t>for_lt_agcy_pos</t>
  </si>
  <si>
    <t>for_lt_agcy_net</t>
  </si>
  <si>
    <t>for_lt_agcy_valchg</t>
  </si>
  <si>
    <t>for_lt_corp_pos</t>
  </si>
  <si>
    <t>for_lt_corp_net</t>
  </si>
  <si>
    <t>for_lt_corp_valchg</t>
  </si>
  <si>
    <t>for_lt_eqty_pos</t>
  </si>
  <si>
    <t>for_lt_eqty_net</t>
  </si>
  <si>
    <t>for_lt_eqty_valchg</t>
  </si>
  <si>
    <t>treasuries_stock_usd</t>
  </si>
  <si>
    <t>equities_stock_usd</t>
  </si>
  <si>
    <t>Japan</t>
  </si>
  <si>
    <t>Holdings</t>
  </si>
  <si>
    <t>nel sales</t>
  </si>
  <si>
    <t>valuation changes</t>
  </si>
  <si>
    <t>Delta Holding</t>
  </si>
  <si>
    <t>Net Sales + valuation sales</t>
  </si>
  <si>
    <t>Holdings stocks (rhs)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</si>
</sst>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5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chart!$F$1</c:f>
              <c:strCache>
                <c:ptCount val="1"/>
                <c:pt idx="0">
                  <c:v>Delta Holding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chart!$B$2:$B$72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chart!$F$2:$F$72</c:f>
              <c:numCache>
                <c:formatCode>General</c:formatCode>
                <c:ptCount val="71"/>
                <c:pt idx="1">
                  <c:v>54781</c:v>
                </c:pt>
                <c:pt idx="2">
                  <c:v>9380</c:v>
                </c:pt>
                <c:pt idx="3">
                  <c:v>-9392</c:v>
                </c:pt>
                <c:pt idx="4">
                  <c:v>-9038</c:v>
                </c:pt>
                <c:pt idx="5">
                  <c:v>1617</c:v>
                </c:pt>
                <c:pt idx="6">
                  <c:v>30963</c:v>
                </c:pt>
                <c:pt idx="7">
                  <c:v>-15622</c:v>
                </c:pt>
                <c:pt idx="8">
                  <c:v>-1513</c:v>
                </c:pt>
                <c:pt idx="9">
                  <c:v>-3522</c:v>
                </c:pt>
                <c:pt idx="10">
                  <c:v>-12050</c:v>
                </c:pt>
                <c:pt idx="11">
                  <c:v>-8634</c:v>
                </c:pt>
                <c:pt idx="12">
                  <c:v>25472</c:v>
                </c:pt>
                <c:pt idx="13">
                  <c:v>-22321</c:v>
                </c:pt>
                <c:pt idx="14">
                  <c:v>-13632</c:v>
                </c:pt>
                <c:pt idx="15">
                  <c:v>37041</c:v>
                </c:pt>
                <c:pt idx="16">
                  <c:v>-10655</c:v>
                </c:pt>
                <c:pt idx="17">
                  <c:v>13906</c:v>
                </c:pt>
                <c:pt idx="18">
                  <c:v>30870</c:v>
                </c:pt>
                <c:pt idx="19">
                  <c:v>6138</c:v>
                </c:pt>
                <c:pt idx="20">
                  <c:v>-17753</c:v>
                </c:pt>
                <c:pt idx="21">
                  <c:v>10359</c:v>
                </c:pt>
                <c:pt idx="22">
                  <c:v>362</c:v>
                </c:pt>
                <c:pt idx="23">
                  <c:v>-30265</c:v>
                </c:pt>
                <c:pt idx="24">
                  <c:v>809</c:v>
                </c:pt>
                <c:pt idx="25">
                  <c:v>9901</c:v>
                </c:pt>
                <c:pt idx="26">
                  <c:v>-78868</c:v>
                </c:pt>
                <c:pt idx="27">
                  <c:v>-14756</c:v>
                </c:pt>
                <c:pt idx="28">
                  <c:v>15499</c:v>
                </c:pt>
                <c:pt idx="29">
                  <c:v>14357</c:v>
                </c:pt>
                <c:pt idx="30">
                  <c:v>-8695</c:v>
                </c:pt>
                <c:pt idx="31">
                  <c:v>-33992</c:v>
                </c:pt>
                <c:pt idx="32">
                  <c:v>-81124</c:v>
                </c:pt>
                <c:pt idx="33">
                  <c:v>-29155</c:v>
                </c:pt>
                <c:pt idx="34">
                  <c:v>10586</c:v>
                </c:pt>
                <c:pt idx="35">
                  <c:v>-23769</c:v>
                </c:pt>
                <c:pt idx="36">
                  <c:v>35095</c:v>
                </c:pt>
                <c:pt idx="37">
                  <c:v>-16136</c:v>
                </c:pt>
                <c:pt idx="38">
                  <c:v>8149</c:v>
                </c:pt>
                <c:pt idx="39">
                  <c:v>40333</c:v>
                </c:pt>
                <c:pt idx="40">
                  <c:v>-22437</c:v>
                </c:pt>
                <c:pt idx="41">
                  <c:v>-4077</c:v>
                </c:pt>
                <c:pt idx="42">
                  <c:v>296</c:v>
                </c:pt>
                <c:pt idx="43">
                  <c:v>-5028</c:v>
                </c:pt>
                <c:pt idx="44">
                  <c:v>-31570</c:v>
                </c:pt>
                <c:pt idx="45">
                  <c:v>15913</c:v>
                </c:pt>
                <c:pt idx="46">
                  <c:v>26628</c:v>
                </c:pt>
                <c:pt idx="47">
                  <c:v>-12742</c:v>
                </c:pt>
                <c:pt idx="48">
                  <c:v>22137</c:v>
                </c:pt>
                <c:pt idx="49">
                  <c:v>-984</c:v>
                </c:pt>
                <c:pt idx="50">
                  <c:v>18209</c:v>
                </c:pt>
                <c:pt idx="51">
                  <c:v>-28845</c:v>
                </c:pt>
                <c:pt idx="52">
                  <c:v>3900</c:v>
                </c:pt>
                <c:pt idx="53">
                  <c:v>-26504</c:v>
                </c:pt>
                <c:pt idx="54">
                  <c:v>5124</c:v>
                </c:pt>
                <c:pt idx="55">
                  <c:v>-6666</c:v>
                </c:pt>
                <c:pt idx="56">
                  <c:v>-22792</c:v>
                </c:pt>
                <c:pt idx="57">
                  <c:v>5365</c:v>
                </c:pt>
                <c:pt idx="58">
                  <c:v>-18189</c:v>
                </c:pt>
                <c:pt idx="59">
                  <c:v>-27383</c:v>
                </c:pt>
                <c:pt idx="60">
                  <c:v>8745</c:v>
                </c:pt>
                <c:pt idx="61">
                  <c:v>46612</c:v>
                </c:pt>
                <c:pt idx="62">
                  <c:v>3626</c:v>
                </c:pt>
                <c:pt idx="63">
                  <c:v>4901</c:v>
                </c:pt>
                <c:pt idx="64">
                  <c:v>2624</c:v>
                </c:pt>
                <c:pt idx="65">
                  <c:v>5134</c:v>
                </c:pt>
                <c:pt idx="66">
                  <c:v>-1621</c:v>
                </c:pt>
                <c:pt idx="67">
                  <c:v>25926</c:v>
                </c:pt>
                <c:pt idx="68">
                  <c:v>7492</c:v>
                </c:pt>
                <c:pt idx="69">
                  <c:v>8801</c:v>
                </c:pt>
                <c:pt idx="70">
                  <c:v>4402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09-4711-B42B-8880DE2D7283}"/>
            </c:ext>
          </c:extLst>
        </c:ser>
        <c:ser>
          <c:idx val="4"/>
          <c:order val="4"/>
          <c:tx>
            <c:strRef>
              <c:f>chart!$G$1</c:f>
              <c:strCache>
                <c:ptCount val="1"/>
                <c:pt idx="0">
                  <c:v>Net Sales + valuation sales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chart!$B$2:$B$72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chart!$G$2:$G$72</c:f>
              <c:numCache>
                <c:formatCode>General</c:formatCode>
                <c:ptCount val="71"/>
                <c:pt idx="37">
                  <c:v>-11219</c:v>
                </c:pt>
                <c:pt idx="38">
                  <c:v>5099</c:v>
                </c:pt>
                <c:pt idx="39">
                  <c:v>39942</c:v>
                </c:pt>
                <c:pt idx="40">
                  <c:v>-21852</c:v>
                </c:pt>
                <c:pt idx="41">
                  <c:v>-7727</c:v>
                </c:pt>
                <c:pt idx="42">
                  <c:v>-1466</c:v>
                </c:pt>
                <c:pt idx="43">
                  <c:v>-4007</c:v>
                </c:pt>
                <c:pt idx="44">
                  <c:v>-32178</c:v>
                </c:pt>
                <c:pt idx="45">
                  <c:v>16200</c:v>
                </c:pt>
                <c:pt idx="46">
                  <c:v>31450</c:v>
                </c:pt>
                <c:pt idx="47">
                  <c:v>6252</c:v>
                </c:pt>
                <c:pt idx="48">
                  <c:v>28436</c:v>
                </c:pt>
                <c:pt idx="49">
                  <c:v>1330</c:v>
                </c:pt>
                <c:pt idx="50">
                  <c:v>15385</c:v>
                </c:pt>
                <c:pt idx="51">
                  <c:v>-29578</c:v>
                </c:pt>
                <c:pt idx="52">
                  <c:v>7423</c:v>
                </c:pt>
                <c:pt idx="53">
                  <c:v>-23241</c:v>
                </c:pt>
                <c:pt idx="54">
                  <c:v>6312</c:v>
                </c:pt>
                <c:pt idx="55">
                  <c:v>-7784</c:v>
                </c:pt>
                <c:pt idx="56">
                  <c:v>-25519</c:v>
                </c:pt>
                <c:pt idx="57">
                  <c:v>13770</c:v>
                </c:pt>
                <c:pt idx="58">
                  <c:v>-10410</c:v>
                </c:pt>
                <c:pt idx="59">
                  <c:v>-25383</c:v>
                </c:pt>
                <c:pt idx="60">
                  <c:v>2699</c:v>
                </c:pt>
                <c:pt idx="61">
                  <c:v>51110</c:v>
                </c:pt>
                <c:pt idx="62">
                  <c:v>1753</c:v>
                </c:pt>
                <c:pt idx="63">
                  <c:v>1676</c:v>
                </c:pt>
                <c:pt idx="64">
                  <c:v>5122</c:v>
                </c:pt>
                <c:pt idx="65">
                  <c:v>9733</c:v>
                </c:pt>
                <c:pt idx="66">
                  <c:v>-1855</c:v>
                </c:pt>
                <c:pt idx="67">
                  <c:v>22170</c:v>
                </c:pt>
                <c:pt idx="68">
                  <c:v>10683</c:v>
                </c:pt>
                <c:pt idx="69">
                  <c:v>7306</c:v>
                </c:pt>
                <c:pt idx="70">
                  <c:v>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09-4711-B42B-8880DE2D7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699487"/>
        <c:axId val="20226999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chart!$C$1</c15:sqref>
                        </c15:formulaRef>
                      </c:ext>
                    </c:extLst>
                    <c:strCache>
                      <c:ptCount val="1"/>
                      <c:pt idx="0">
                        <c:v>Holdings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chart!$B$2:$B$72</c15:sqref>
                        </c15:formulaRef>
                      </c:ext>
                    </c:extLst>
                    <c:numCache>
                      <c:formatCode>m/d/yyyy</c:formatCode>
                      <c:ptCount val="71"/>
                      <c:pt idx="0">
                        <c:v>43861</c:v>
                      </c:pt>
                      <c:pt idx="1">
                        <c:v>43890</c:v>
                      </c:pt>
                      <c:pt idx="2">
                        <c:v>43921</c:v>
                      </c:pt>
                      <c:pt idx="3">
                        <c:v>43951</c:v>
                      </c:pt>
                      <c:pt idx="4">
                        <c:v>43982</c:v>
                      </c:pt>
                      <c:pt idx="5">
                        <c:v>44012</c:v>
                      </c:pt>
                      <c:pt idx="6">
                        <c:v>44043</c:v>
                      </c:pt>
                      <c:pt idx="7">
                        <c:v>44074</c:v>
                      </c:pt>
                      <c:pt idx="8">
                        <c:v>44104</c:v>
                      </c:pt>
                      <c:pt idx="9">
                        <c:v>44135</c:v>
                      </c:pt>
                      <c:pt idx="10">
                        <c:v>44165</c:v>
                      </c:pt>
                      <c:pt idx="11">
                        <c:v>44196</c:v>
                      </c:pt>
                      <c:pt idx="12">
                        <c:v>44227</c:v>
                      </c:pt>
                      <c:pt idx="13">
                        <c:v>44255</c:v>
                      </c:pt>
                      <c:pt idx="14">
                        <c:v>44286</c:v>
                      </c:pt>
                      <c:pt idx="15">
                        <c:v>44316</c:v>
                      </c:pt>
                      <c:pt idx="16">
                        <c:v>44347</c:v>
                      </c:pt>
                      <c:pt idx="17">
                        <c:v>44377</c:v>
                      </c:pt>
                      <c:pt idx="18">
                        <c:v>44408</c:v>
                      </c:pt>
                      <c:pt idx="19">
                        <c:v>44439</c:v>
                      </c:pt>
                      <c:pt idx="20">
                        <c:v>44469</c:v>
                      </c:pt>
                      <c:pt idx="21">
                        <c:v>44500</c:v>
                      </c:pt>
                      <c:pt idx="22">
                        <c:v>44530</c:v>
                      </c:pt>
                      <c:pt idx="23">
                        <c:v>44561</c:v>
                      </c:pt>
                      <c:pt idx="24">
                        <c:v>44592</c:v>
                      </c:pt>
                      <c:pt idx="25">
                        <c:v>44620</c:v>
                      </c:pt>
                      <c:pt idx="26">
                        <c:v>44651</c:v>
                      </c:pt>
                      <c:pt idx="27">
                        <c:v>44681</c:v>
                      </c:pt>
                      <c:pt idx="28">
                        <c:v>44712</c:v>
                      </c:pt>
                      <c:pt idx="29">
                        <c:v>44742</c:v>
                      </c:pt>
                      <c:pt idx="30">
                        <c:v>44773</c:v>
                      </c:pt>
                      <c:pt idx="31">
                        <c:v>44804</c:v>
                      </c:pt>
                      <c:pt idx="32">
                        <c:v>44834</c:v>
                      </c:pt>
                      <c:pt idx="33">
                        <c:v>44865</c:v>
                      </c:pt>
                      <c:pt idx="34">
                        <c:v>44895</c:v>
                      </c:pt>
                      <c:pt idx="35">
                        <c:v>44926</c:v>
                      </c:pt>
                      <c:pt idx="36">
                        <c:v>44957</c:v>
                      </c:pt>
                      <c:pt idx="37">
                        <c:v>44985</c:v>
                      </c:pt>
                      <c:pt idx="38">
                        <c:v>45016</c:v>
                      </c:pt>
                      <c:pt idx="39">
                        <c:v>45046</c:v>
                      </c:pt>
                      <c:pt idx="40">
                        <c:v>45077</c:v>
                      </c:pt>
                      <c:pt idx="41">
                        <c:v>45107</c:v>
                      </c:pt>
                      <c:pt idx="42">
                        <c:v>45138</c:v>
                      </c:pt>
                      <c:pt idx="43">
                        <c:v>45169</c:v>
                      </c:pt>
                      <c:pt idx="44">
                        <c:v>45199</c:v>
                      </c:pt>
                      <c:pt idx="45">
                        <c:v>45230</c:v>
                      </c:pt>
                      <c:pt idx="46">
                        <c:v>45260</c:v>
                      </c:pt>
                      <c:pt idx="47">
                        <c:v>45291</c:v>
                      </c:pt>
                      <c:pt idx="48">
                        <c:v>45322</c:v>
                      </c:pt>
                      <c:pt idx="49">
                        <c:v>45351</c:v>
                      </c:pt>
                      <c:pt idx="50">
                        <c:v>45382</c:v>
                      </c:pt>
                      <c:pt idx="51">
                        <c:v>45412</c:v>
                      </c:pt>
                      <c:pt idx="52">
                        <c:v>45443</c:v>
                      </c:pt>
                      <c:pt idx="53">
                        <c:v>45473</c:v>
                      </c:pt>
                      <c:pt idx="54">
                        <c:v>45504</c:v>
                      </c:pt>
                      <c:pt idx="55">
                        <c:v>45535</c:v>
                      </c:pt>
                      <c:pt idx="56">
                        <c:v>45565</c:v>
                      </c:pt>
                      <c:pt idx="57">
                        <c:v>45596</c:v>
                      </c:pt>
                      <c:pt idx="58">
                        <c:v>45626</c:v>
                      </c:pt>
                      <c:pt idx="59">
                        <c:v>45657</c:v>
                      </c:pt>
                      <c:pt idx="60">
                        <c:v>45688</c:v>
                      </c:pt>
                      <c:pt idx="61">
                        <c:v>45716</c:v>
                      </c:pt>
                      <c:pt idx="62">
                        <c:v>45747</c:v>
                      </c:pt>
                      <c:pt idx="63">
                        <c:v>45777</c:v>
                      </c:pt>
                      <c:pt idx="64">
                        <c:v>45808</c:v>
                      </c:pt>
                      <c:pt idx="65">
                        <c:v>45838</c:v>
                      </c:pt>
                      <c:pt idx="66">
                        <c:v>45869</c:v>
                      </c:pt>
                      <c:pt idx="67">
                        <c:v>45900</c:v>
                      </c:pt>
                      <c:pt idx="68">
                        <c:v>45930</c:v>
                      </c:pt>
                      <c:pt idx="69">
                        <c:v>45961</c:v>
                      </c:pt>
                      <c:pt idx="70">
                        <c:v>45991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chart!$C$2:$C$72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0">
                        <c:v>1147586</c:v>
                      </c:pt>
                      <c:pt idx="1">
                        <c:v>1202367</c:v>
                      </c:pt>
                      <c:pt idx="2">
                        <c:v>1211747</c:v>
                      </c:pt>
                      <c:pt idx="3">
                        <c:v>1202355</c:v>
                      </c:pt>
                      <c:pt idx="4">
                        <c:v>1193317</c:v>
                      </c:pt>
                      <c:pt idx="5">
                        <c:v>1194934</c:v>
                      </c:pt>
                      <c:pt idx="6">
                        <c:v>1225897</c:v>
                      </c:pt>
                      <c:pt idx="7">
                        <c:v>1210275</c:v>
                      </c:pt>
                      <c:pt idx="8">
                        <c:v>1208762</c:v>
                      </c:pt>
                      <c:pt idx="9">
                        <c:v>1205240</c:v>
                      </c:pt>
                      <c:pt idx="10">
                        <c:v>1193190</c:v>
                      </c:pt>
                      <c:pt idx="11">
                        <c:v>1184556</c:v>
                      </c:pt>
                      <c:pt idx="12">
                        <c:v>1210028</c:v>
                      </c:pt>
                      <c:pt idx="13">
                        <c:v>1187707</c:v>
                      </c:pt>
                      <c:pt idx="14">
                        <c:v>1174075</c:v>
                      </c:pt>
                      <c:pt idx="15">
                        <c:v>1211116</c:v>
                      </c:pt>
                      <c:pt idx="16">
                        <c:v>1200461</c:v>
                      </c:pt>
                      <c:pt idx="17">
                        <c:v>1214367</c:v>
                      </c:pt>
                      <c:pt idx="18">
                        <c:v>1245237</c:v>
                      </c:pt>
                      <c:pt idx="19">
                        <c:v>1251375</c:v>
                      </c:pt>
                      <c:pt idx="20">
                        <c:v>1233622</c:v>
                      </c:pt>
                      <c:pt idx="21">
                        <c:v>1243981</c:v>
                      </c:pt>
                      <c:pt idx="22">
                        <c:v>1244343</c:v>
                      </c:pt>
                      <c:pt idx="23">
                        <c:v>1214078</c:v>
                      </c:pt>
                      <c:pt idx="24">
                        <c:v>1214887</c:v>
                      </c:pt>
                      <c:pt idx="25">
                        <c:v>1224788</c:v>
                      </c:pt>
                      <c:pt idx="26">
                        <c:v>1145920</c:v>
                      </c:pt>
                      <c:pt idx="27">
                        <c:v>1131164</c:v>
                      </c:pt>
                      <c:pt idx="28">
                        <c:v>1146663</c:v>
                      </c:pt>
                      <c:pt idx="29">
                        <c:v>1161020</c:v>
                      </c:pt>
                      <c:pt idx="30">
                        <c:v>1152325</c:v>
                      </c:pt>
                      <c:pt idx="31">
                        <c:v>1118333</c:v>
                      </c:pt>
                      <c:pt idx="32">
                        <c:v>1037209</c:v>
                      </c:pt>
                      <c:pt idx="33">
                        <c:v>1008054</c:v>
                      </c:pt>
                      <c:pt idx="34">
                        <c:v>1018640</c:v>
                      </c:pt>
                      <c:pt idx="35">
                        <c:v>994871</c:v>
                      </c:pt>
                      <c:pt idx="36">
                        <c:v>1029966</c:v>
                      </c:pt>
                      <c:pt idx="37">
                        <c:v>1013830</c:v>
                      </c:pt>
                      <c:pt idx="38">
                        <c:v>1021979</c:v>
                      </c:pt>
                      <c:pt idx="39">
                        <c:v>1062312</c:v>
                      </c:pt>
                      <c:pt idx="40">
                        <c:v>1039875</c:v>
                      </c:pt>
                      <c:pt idx="41">
                        <c:v>1035798</c:v>
                      </c:pt>
                      <c:pt idx="42">
                        <c:v>1036094</c:v>
                      </c:pt>
                      <c:pt idx="43">
                        <c:v>1031066</c:v>
                      </c:pt>
                      <c:pt idx="44">
                        <c:v>999496</c:v>
                      </c:pt>
                      <c:pt idx="45">
                        <c:v>1015409</c:v>
                      </c:pt>
                      <c:pt idx="46">
                        <c:v>1042037</c:v>
                      </c:pt>
                      <c:pt idx="47">
                        <c:v>1029295</c:v>
                      </c:pt>
                      <c:pt idx="48">
                        <c:v>1051432</c:v>
                      </c:pt>
                      <c:pt idx="49">
                        <c:v>1050448</c:v>
                      </c:pt>
                      <c:pt idx="50">
                        <c:v>1068657</c:v>
                      </c:pt>
                      <c:pt idx="51">
                        <c:v>1039812</c:v>
                      </c:pt>
                      <c:pt idx="52">
                        <c:v>1043712</c:v>
                      </c:pt>
                      <c:pt idx="53">
                        <c:v>1017208</c:v>
                      </c:pt>
                      <c:pt idx="54">
                        <c:v>1022332</c:v>
                      </c:pt>
                      <c:pt idx="55">
                        <c:v>1015666</c:v>
                      </c:pt>
                      <c:pt idx="56">
                        <c:v>992874</c:v>
                      </c:pt>
                      <c:pt idx="57">
                        <c:v>998239</c:v>
                      </c:pt>
                      <c:pt idx="58">
                        <c:v>980050</c:v>
                      </c:pt>
                      <c:pt idx="59">
                        <c:v>952667</c:v>
                      </c:pt>
                      <c:pt idx="60">
                        <c:v>961412</c:v>
                      </c:pt>
                      <c:pt idx="61">
                        <c:v>1008024</c:v>
                      </c:pt>
                      <c:pt idx="62">
                        <c:v>1011650</c:v>
                      </c:pt>
                      <c:pt idx="63">
                        <c:v>1016551</c:v>
                      </c:pt>
                      <c:pt idx="64">
                        <c:v>1019175</c:v>
                      </c:pt>
                      <c:pt idx="65">
                        <c:v>1024309</c:v>
                      </c:pt>
                      <c:pt idx="66">
                        <c:v>1022688</c:v>
                      </c:pt>
                      <c:pt idx="67">
                        <c:v>1048614</c:v>
                      </c:pt>
                      <c:pt idx="68">
                        <c:v>1056106</c:v>
                      </c:pt>
                      <c:pt idx="69">
                        <c:v>1064907</c:v>
                      </c:pt>
                      <c:pt idx="70">
                        <c:v>1069309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D09-4711-B42B-8880DE2D728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chart!$D$1</c15:sqref>
                        </c15:formulaRef>
                      </c:ext>
                    </c:extLst>
                    <c:strCache>
                      <c:ptCount val="1"/>
                      <c:pt idx="0">
                        <c:v>nel 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chart!$B$2:$B$72</c15:sqref>
                        </c15:formulaRef>
                      </c:ext>
                    </c:extLst>
                    <c:numCache>
                      <c:formatCode>m/d/yyyy</c:formatCode>
                      <c:ptCount val="71"/>
                      <c:pt idx="0">
                        <c:v>43861</c:v>
                      </c:pt>
                      <c:pt idx="1">
                        <c:v>43890</c:v>
                      </c:pt>
                      <c:pt idx="2">
                        <c:v>43921</c:v>
                      </c:pt>
                      <c:pt idx="3">
                        <c:v>43951</c:v>
                      </c:pt>
                      <c:pt idx="4">
                        <c:v>43982</c:v>
                      </c:pt>
                      <c:pt idx="5">
                        <c:v>44012</c:v>
                      </c:pt>
                      <c:pt idx="6">
                        <c:v>44043</c:v>
                      </c:pt>
                      <c:pt idx="7">
                        <c:v>44074</c:v>
                      </c:pt>
                      <c:pt idx="8">
                        <c:v>44104</c:v>
                      </c:pt>
                      <c:pt idx="9">
                        <c:v>44135</c:v>
                      </c:pt>
                      <c:pt idx="10">
                        <c:v>44165</c:v>
                      </c:pt>
                      <c:pt idx="11">
                        <c:v>44196</c:v>
                      </c:pt>
                      <c:pt idx="12">
                        <c:v>44227</c:v>
                      </c:pt>
                      <c:pt idx="13">
                        <c:v>44255</c:v>
                      </c:pt>
                      <c:pt idx="14">
                        <c:v>44286</c:v>
                      </c:pt>
                      <c:pt idx="15">
                        <c:v>44316</c:v>
                      </c:pt>
                      <c:pt idx="16">
                        <c:v>44347</c:v>
                      </c:pt>
                      <c:pt idx="17">
                        <c:v>44377</c:v>
                      </c:pt>
                      <c:pt idx="18">
                        <c:v>44408</c:v>
                      </c:pt>
                      <c:pt idx="19">
                        <c:v>44439</c:v>
                      </c:pt>
                      <c:pt idx="20">
                        <c:v>44469</c:v>
                      </c:pt>
                      <c:pt idx="21">
                        <c:v>44500</c:v>
                      </c:pt>
                      <c:pt idx="22">
                        <c:v>44530</c:v>
                      </c:pt>
                      <c:pt idx="23">
                        <c:v>44561</c:v>
                      </c:pt>
                      <c:pt idx="24">
                        <c:v>44592</c:v>
                      </c:pt>
                      <c:pt idx="25">
                        <c:v>44620</c:v>
                      </c:pt>
                      <c:pt idx="26">
                        <c:v>44651</c:v>
                      </c:pt>
                      <c:pt idx="27">
                        <c:v>44681</c:v>
                      </c:pt>
                      <c:pt idx="28">
                        <c:v>44712</c:v>
                      </c:pt>
                      <c:pt idx="29">
                        <c:v>44742</c:v>
                      </c:pt>
                      <c:pt idx="30">
                        <c:v>44773</c:v>
                      </c:pt>
                      <c:pt idx="31">
                        <c:v>44804</c:v>
                      </c:pt>
                      <c:pt idx="32">
                        <c:v>44834</c:v>
                      </c:pt>
                      <c:pt idx="33">
                        <c:v>44865</c:v>
                      </c:pt>
                      <c:pt idx="34">
                        <c:v>44895</c:v>
                      </c:pt>
                      <c:pt idx="35">
                        <c:v>44926</c:v>
                      </c:pt>
                      <c:pt idx="36">
                        <c:v>44957</c:v>
                      </c:pt>
                      <c:pt idx="37">
                        <c:v>44985</c:v>
                      </c:pt>
                      <c:pt idx="38">
                        <c:v>45016</c:v>
                      </c:pt>
                      <c:pt idx="39">
                        <c:v>45046</c:v>
                      </c:pt>
                      <c:pt idx="40">
                        <c:v>45077</c:v>
                      </c:pt>
                      <c:pt idx="41">
                        <c:v>45107</c:v>
                      </c:pt>
                      <c:pt idx="42">
                        <c:v>45138</c:v>
                      </c:pt>
                      <c:pt idx="43">
                        <c:v>45169</c:v>
                      </c:pt>
                      <c:pt idx="44">
                        <c:v>45199</c:v>
                      </c:pt>
                      <c:pt idx="45">
                        <c:v>45230</c:v>
                      </c:pt>
                      <c:pt idx="46">
                        <c:v>45260</c:v>
                      </c:pt>
                      <c:pt idx="47">
                        <c:v>45291</c:v>
                      </c:pt>
                      <c:pt idx="48">
                        <c:v>45322</c:v>
                      </c:pt>
                      <c:pt idx="49">
                        <c:v>45351</c:v>
                      </c:pt>
                      <c:pt idx="50">
                        <c:v>45382</c:v>
                      </c:pt>
                      <c:pt idx="51">
                        <c:v>45412</c:v>
                      </c:pt>
                      <c:pt idx="52">
                        <c:v>45443</c:v>
                      </c:pt>
                      <c:pt idx="53">
                        <c:v>45473</c:v>
                      </c:pt>
                      <c:pt idx="54">
                        <c:v>45504</c:v>
                      </c:pt>
                      <c:pt idx="55">
                        <c:v>45535</c:v>
                      </c:pt>
                      <c:pt idx="56">
                        <c:v>45565</c:v>
                      </c:pt>
                      <c:pt idx="57">
                        <c:v>45596</c:v>
                      </c:pt>
                      <c:pt idx="58">
                        <c:v>45626</c:v>
                      </c:pt>
                      <c:pt idx="59">
                        <c:v>45657</c:v>
                      </c:pt>
                      <c:pt idx="60">
                        <c:v>45688</c:v>
                      </c:pt>
                      <c:pt idx="61">
                        <c:v>45716</c:v>
                      </c:pt>
                      <c:pt idx="62">
                        <c:v>45747</c:v>
                      </c:pt>
                      <c:pt idx="63">
                        <c:v>45777</c:v>
                      </c:pt>
                      <c:pt idx="64">
                        <c:v>45808</c:v>
                      </c:pt>
                      <c:pt idx="65">
                        <c:v>45838</c:v>
                      </c:pt>
                      <c:pt idx="66">
                        <c:v>45869</c:v>
                      </c:pt>
                      <c:pt idx="67">
                        <c:v>45900</c:v>
                      </c:pt>
                      <c:pt idx="68">
                        <c:v>45930</c:v>
                      </c:pt>
                      <c:pt idx="69">
                        <c:v>45961</c:v>
                      </c:pt>
                      <c:pt idx="70">
                        <c:v>45991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chart!$D$2:$D$72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37">
                        <c:v>4458</c:v>
                      </c:pt>
                      <c:pt idx="38">
                        <c:v>-16470</c:v>
                      </c:pt>
                      <c:pt idx="39">
                        <c:v>35588</c:v>
                      </c:pt>
                      <c:pt idx="40">
                        <c:v>-7992</c:v>
                      </c:pt>
                      <c:pt idx="41">
                        <c:v>1633</c:v>
                      </c:pt>
                      <c:pt idx="42">
                        <c:v>3633</c:v>
                      </c:pt>
                      <c:pt idx="43">
                        <c:v>796</c:v>
                      </c:pt>
                      <c:pt idx="44">
                        <c:v>-13479</c:v>
                      </c:pt>
                      <c:pt idx="45">
                        <c:v>26423</c:v>
                      </c:pt>
                      <c:pt idx="46">
                        <c:v>-72</c:v>
                      </c:pt>
                      <c:pt idx="47">
                        <c:v>-20070</c:v>
                      </c:pt>
                      <c:pt idx="48">
                        <c:v>20322</c:v>
                      </c:pt>
                      <c:pt idx="49">
                        <c:v>18907</c:v>
                      </c:pt>
                      <c:pt idx="50">
                        <c:v>13051</c:v>
                      </c:pt>
                      <c:pt idx="51">
                        <c:v>246</c:v>
                      </c:pt>
                      <c:pt idx="52">
                        <c:v>171</c:v>
                      </c:pt>
                      <c:pt idx="53">
                        <c:v>-36608</c:v>
                      </c:pt>
                      <c:pt idx="54">
                        <c:v>-10903</c:v>
                      </c:pt>
                      <c:pt idx="55">
                        <c:v>-22321</c:v>
                      </c:pt>
                      <c:pt idx="56">
                        <c:v>-29136</c:v>
                      </c:pt>
                      <c:pt idx="57">
                        <c:v>31277</c:v>
                      </c:pt>
                      <c:pt idx="58">
                        <c:v>-19727</c:v>
                      </c:pt>
                      <c:pt idx="59">
                        <c:v>-10233</c:v>
                      </c:pt>
                      <c:pt idx="60">
                        <c:v>4034</c:v>
                      </c:pt>
                      <c:pt idx="61">
                        <c:v>31719</c:v>
                      </c:pt>
                      <c:pt idx="62">
                        <c:v>3246</c:v>
                      </c:pt>
                      <c:pt idx="63">
                        <c:v>-2927</c:v>
                      </c:pt>
                      <c:pt idx="64">
                        <c:v>13116</c:v>
                      </c:pt>
                      <c:pt idx="65">
                        <c:v>-3605</c:v>
                      </c:pt>
                      <c:pt idx="66">
                        <c:v>4053</c:v>
                      </c:pt>
                      <c:pt idx="67">
                        <c:v>15365</c:v>
                      </c:pt>
                      <c:pt idx="68">
                        <c:v>5618</c:v>
                      </c:pt>
                      <c:pt idx="69">
                        <c:v>6746</c:v>
                      </c:pt>
                      <c:pt idx="70">
                        <c:v>-1454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D09-4711-B42B-8880DE2D728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chart!$E$1</c15:sqref>
                        </c15:formulaRef>
                      </c:ext>
                    </c:extLst>
                    <c:strCache>
                      <c:ptCount val="1"/>
                      <c:pt idx="0">
                        <c:v>valuation changes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chart!$B$2:$B$72</c15:sqref>
                        </c15:formulaRef>
                      </c:ext>
                    </c:extLst>
                    <c:numCache>
                      <c:formatCode>m/d/yyyy</c:formatCode>
                      <c:ptCount val="71"/>
                      <c:pt idx="0">
                        <c:v>43861</c:v>
                      </c:pt>
                      <c:pt idx="1">
                        <c:v>43890</c:v>
                      </c:pt>
                      <c:pt idx="2">
                        <c:v>43921</c:v>
                      </c:pt>
                      <c:pt idx="3">
                        <c:v>43951</c:v>
                      </c:pt>
                      <c:pt idx="4">
                        <c:v>43982</c:v>
                      </c:pt>
                      <c:pt idx="5">
                        <c:v>44012</c:v>
                      </c:pt>
                      <c:pt idx="6">
                        <c:v>44043</c:v>
                      </c:pt>
                      <c:pt idx="7">
                        <c:v>44074</c:v>
                      </c:pt>
                      <c:pt idx="8">
                        <c:v>44104</c:v>
                      </c:pt>
                      <c:pt idx="9">
                        <c:v>44135</c:v>
                      </c:pt>
                      <c:pt idx="10">
                        <c:v>44165</c:v>
                      </c:pt>
                      <c:pt idx="11">
                        <c:v>44196</c:v>
                      </c:pt>
                      <c:pt idx="12">
                        <c:v>44227</c:v>
                      </c:pt>
                      <c:pt idx="13">
                        <c:v>44255</c:v>
                      </c:pt>
                      <c:pt idx="14">
                        <c:v>44286</c:v>
                      </c:pt>
                      <c:pt idx="15">
                        <c:v>44316</c:v>
                      </c:pt>
                      <c:pt idx="16">
                        <c:v>44347</c:v>
                      </c:pt>
                      <c:pt idx="17">
                        <c:v>44377</c:v>
                      </c:pt>
                      <c:pt idx="18">
                        <c:v>44408</c:v>
                      </c:pt>
                      <c:pt idx="19">
                        <c:v>44439</c:v>
                      </c:pt>
                      <c:pt idx="20">
                        <c:v>44469</c:v>
                      </c:pt>
                      <c:pt idx="21">
                        <c:v>44500</c:v>
                      </c:pt>
                      <c:pt idx="22">
                        <c:v>44530</c:v>
                      </c:pt>
                      <c:pt idx="23">
                        <c:v>44561</c:v>
                      </c:pt>
                      <c:pt idx="24">
                        <c:v>44592</c:v>
                      </c:pt>
                      <c:pt idx="25">
                        <c:v>44620</c:v>
                      </c:pt>
                      <c:pt idx="26">
                        <c:v>44651</c:v>
                      </c:pt>
                      <c:pt idx="27">
                        <c:v>44681</c:v>
                      </c:pt>
                      <c:pt idx="28">
                        <c:v>44712</c:v>
                      </c:pt>
                      <c:pt idx="29">
                        <c:v>44742</c:v>
                      </c:pt>
                      <c:pt idx="30">
                        <c:v>44773</c:v>
                      </c:pt>
                      <c:pt idx="31">
                        <c:v>44804</c:v>
                      </c:pt>
                      <c:pt idx="32">
                        <c:v>44834</c:v>
                      </c:pt>
                      <c:pt idx="33">
                        <c:v>44865</c:v>
                      </c:pt>
                      <c:pt idx="34">
                        <c:v>44895</c:v>
                      </c:pt>
                      <c:pt idx="35">
                        <c:v>44926</c:v>
                      </c:pt>
                      <c:pt idx="36">
                        <c:v>44957</c:v>
                      </c:pt>
                      <c:pt idx="37">
                        <c:v>44985</c:v>
                      </c:pt>
                      <c:pt idx="38">
                        <c:v>45016</c:v>
                      </c:pt>
                      <c:pt idx="39">
                        <c:v>45046</c:v>
                      </c:pt>
                      <c:pt idx="40">
                        <c:v>45077</c:v>
                      </c:pt>
                      <c:pt idx="41">
                        <c:v>45107</c:v>
                      </c:pt>
                      <c:pt idx="42">
                        <c:v>45138</c:v>
                      </c:pt>
                      <c:pt idx="43">
                        <c:v>45169</c:v>
                      </c:pt>
                      <c:pt idx="44">
                        <c:v>45199</c:v>
                      </c:pt>
                      <c:pt idx="45">
                        <c:v>45230</c:v>
                      </c:pt>
                      <c:pt idx="46">
                        <c:v>45260</c:v>
                      </c:pt>
                      <c:pt idx="47">
                        <c:v>45291</c:v>
                      </c:pt>
                      <c:pt idx="48">
                        <c:v>45322</c:v>
                      </c:pt>
                      <c:pt idx="49">
                        <c:v>45351</c:v>
                      </c:pt>
                      <c:pt idx="50">
                        <c:v>45382</c:v>
                      </c:pt>
                      <c:pt idx="51">
                        <c:v>45412</c:v>
                      </c:pt>
                      <c:pt idx="52">
                        <c:v>45443</c:v>
                      </c:pt>
                      <c:pt idx="53">
                        <c:v>45473</c:v>
                      </c:pt>
                      <c:pt idx="54">
                        <c:v>45504</c:v>
                      </c:pt>
                      <c:pt idx="55">
                        <c:v>45535</c:v>
                      </c:pt>
                      <c:pt idx="56">
                        <c:v>45565</c:v>
                      </c:pt>
                      <c:pt idx="57">
                        <c:v>45596</c:v>
                      </c:pt>
                      <c:pt idx="58">
                        <c:v>45626</c:v>
                      </c:pt>
                      <c:pt idx="59">
                        <c:v>45657</c:v>
                      </c:pt>
                      <c:pt idx="60">
                        <c:v>45688</c:v>
                      </c:pt>
                      <c:pt idx="61">
                        <c:v>45716</c:v>
                      </c:pt>
                      <c:pt idx="62">
                        <c:v>45747</c:v>
                      </c:pt>
                      <c:pt idx="63">
                        <c:v>45777</c:v>
                      </c:pt>
                      <c:pt idx="64">
                        <c:v>45808</c:v>
                      </c:pt>
                      <c:pt idx="65">
                        <c:v>45838</c:v>
                      </c:pt>
                      <c:pt idx="66">
                        <c:v>45869</c:v>
                      </c:pt>
                      <c:pt idx="67">
                        <c:v>45900</c:v>
                      </c:pt>
                      <c:pt idx="68">
                        <c:v>45930</c:v>
                      </c:pt>
                      <c:pt idx="69">
                        <c:v>45961</c:v>
                      </c:pt>
                      <c:pt idx="70">
                        <c:v>45991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chart!$E$2:$E$72</c15:sqref>
                        </c15:formulaRef>
                      </c:ext>
                    </c:extLst>
                    <c:numCache>
                      <c:formatCode>General</c:formatCode>
                      <c:ptCount val="71"/>
                      <c:pt idx="37">
                        <c:v>-15677</c:v>
                      </c:pt>
                      <c:pt idx="38">
                        <c:v>21569</c:v>
                      </c:pt>
                      <c:pt idx="39">
                        <c:v>4354</c:v>
                      </c:pt>
                      <c:pt idx="40">
                        <c:v>-13860</c:v>
                      </c:pt>
                      <c:pt idx="41">
                        <c:v>-9360</c:v>
                      </c:pt>
                      <c:pt idx="42">
                        <c:v>-5099</c:v>
                      </c:pt>
                      <c:pt idx="43">
                        <c:v>-4803</c:v>
                      </c:pt>
                      <c:pt idx="44">
                        <c:v>-18699</c:v>
                      </c:pt>
                      <c:pt idx="45">
                        <c:v>-10223</c:v>
                      </c:pt>
                      <c:pt idx="46">
                        <c:v>31522</c:v>
                      </c:pt>
                      <c:pt idx="47">
                        <c:v>26322</c:v>
                      </c:pt>
                      <c:pt idx="48">
                        <c:v>8114</c:v>
                      </c:pt>
                      <c:pt idx="49">
                        <c:v>-17577</c:v>
                      </c:pt>
                      <c:pt idx="50">
                        <c:v>2334</c:v>
                      </c:pt>
                      <c:pt idx="51">
                        <c:v>-29824</c:v>
                      </c:pt>
                      <c:pt idx="52">
                        <c:v>7252</c:v>
                      </c:pt>
                      <c:pt idx="53">
                        <c:v>13367</c:v>
                      </c:pt>
                      <c:pt idx="54">
                        <c:v>17215</c:v>
                      </c:pt>
                      <c:pt idx="55">
                        <c:v>14537</c:v>
                      </c:pt>
                      <c:pt idx="56">
                        <c:v>3617</c:v>
                      </c:pt>
                      <c:pt idx="57">
                        <c:v>-17507</c:v>
                      </c:pt>
                      <c:pt idx="58">
                        <c:v>9317</c:v>
                      </c:pt>
                      <c:pt idx="59">
                        <c:v>-15150</c:v>
                      </c:pt>
                      <c:pt idx="60">
                        <c:v>-1335</c:v>
                      </c:pt>
                      <c:pt idx="61">
                        <c:v>19391</c:v>
                      </c:pt>
                      <c:pt idx="62">
                        <c:v>-1493</c:v>
                      </c:pt>
                      <c:pt idx="63">
                        <c:v>4603</c:v>
                      </c:pt>
                      <c:pt idx="64">
                        <c:v>-7994</c:v>
                      </c:pt>
                      <c:pt idx="65">
                        <c:v>13338</c:v>
                      </c:pt>
                      <c:pt idx="66">
                        <c:v>-5908</c:v>
                      </c:pt>
                      <c:pt idx="67">
                        <c:v>6805</c:v>
                      </c:pt>
                      <c:pt idx="68">
                        <c:v>5065</c:v>
                      </c:pt>
                      <c:pt idx="69">
                        <c:v>560</c:v>
                      </c:pt>
                      <c:pt idx="70">
                        <c:v>3732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D09-4711-B42B-8880DE2D7283}"/>
                  </c:ext>
                </c:extLst>
              </c15:ser>
            </c15:filteredLineSeries>
          </c:ext>
        </c:extLst>
      </c:lineChart>
      <c:dateAx>
        <c:axId val="20226994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2699967"/>
        <c:crosses val="autoZero"/>
        <c:auto val="1"/>
        <c:lblOffset val="100"/>
        <c:baseTimeUnit val="months"/>
      </c:dateAx>
      <c:valAx>
        <c:axId val="20226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269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Japan: Delta treasury Holding </a:t>
            </a:r>
            <a:r>
              <a:rPr lang="it-IT" baseline="0"/>
              <a:t> var. a/a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chart!$J$1</c:f>
              <c:strCache>
                <c:ptCount val="1"/>
                <c:pt idx="0">
                  <c:v>nel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chart!$H$2:$H$72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chart!$J$2:$J$72</c:f>
              <c:numCache>
                <c:formatCode>General</c:formatCode>
                <c:ptCount val="71"/>
                <c:pt idx="48">
                  <c:v>34770</c:v>
                </c:pt>
                <c:pt idx="49">
                  <c:v>49219</c:v>
                </c:pt>
                <c:pt idx="50">
                  <c:v>78740</c:v>
                </c:pt>
                <c:pt idx="51">
                  <c:v>43398</c:v>
                </c:pt>
                <c:pt idx="52">
                  <c:v>51561</c:v>
                </c:pt>
                <c:pt idx="53">
                  <c:v>13320</c:v>
                </c:pt>
                <c:pt idx="54">
                  <c:v>-1216</c:v>
                </c:pt>
                <c:pt idx="55">
                  <c:v>-24333</c:v>
                </c:pt>
                <c:pt idx="56">
                  <c:v>-39990</c:v>
                </c:pt>
                <c:pt idx="57">
                  <c:v>-35136</c:v>
                </c:pt>
                <c:pt idx="58">
                  <c:v>-54791</c:v>
                </c:pt>
                <c:pt idx="59">
                  <c:v>-44954</c:v>
                </c:pt>
                <c:pt idx="60">
                  <c:v>-61242</c:v>
                </c:pt>
                <c:pt idx="61">
                  <c:v>-48430</c:v>
                </c:pt>
                <c:pt idx="62">
                  <c:v>-58235</c:v>
                </c:pt>
                <c:pt idx="63">
                  <c:v>-61408</c:v>
                </c:pt>
                <c:pt idx="64">
                  <c:v>-48463</c:v>
                </c:pt>
                <c:pt idx="65">
                  <c:v>-15460</c:v>
                </c:pt>
                <c:pt idx="66">
                  <c:v>-504</c:v>
                </c:pt>
                <c:pt idx="67">
                  <c:v>37182</c:v>
                </c:pt>
                <c:pt idx="68">
                  <c:v>71936</c:v>
                </c:pt>
                <c:pt idx="69">
                  <c:v>47405</c:v>
                </c:pt>
                <c:pt idx="70">
                  <c:v>65678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5-4655-87CF-36AA79FE13EF}"/>
            </c:ext>
          </c:extLst>
        </c:ser>
        <c:ser>
          <c:idx val="2"/>
          <c:order val="2"/>
          <c:tx>
            <c:strRef>
              <c:f>chart!$K$1</c:f>
              <c:strCache>
                <c:ptCount val="1"/>
                <c:pt idx="0">
                  <c:v>valuation changes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chart!$H$2:$H$72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chart!$K$2:$K$72</c:f>
              <c:numCache>
                <c:formatCode>General</c:formatCode>
                <c:ptCount val="71"/>
                <c:pt idx="48">
                  <c:v>14160</c:v>
                </c:pt>
                <c:pt idx="49">
                  <c:v>12260</c:v>
                </c:pt>
                <c:pt idx="50">
                  <c:v>-6975</c:v>
                </c:pt>
                <c:pt idx="51">
                  <c:v>-41153</c:v>
                </c:pt>
                <c:pt idx="52">
                  <c:v>-20041</c:v>
                </c:pt>
                <c:pt idx="53">
                  <c:v>2686</c:v>
                </c:pt>
                <c:pt idx="54">
                  <c:v>25000</c:v>
                </c:pt>
                <c:pt idx="55">
                  <c:v>44340</c:v>
                </c:pt>
                <c:pt idx="56">
                  <c:v>66656</c:v>
                </c:pt>
                <c:pt idx="57">
                  <c:v>59372</c:v>
                </c:pt>
                <c:pt idx="58">
                  <c:v>37167</c:v>
                </c:pt>
                <c:pt idx="59">
                  <c:v>-4305</c:v>
                </c:pt>
                <c:pt idx="60">
                  <c:v>-13754</c:v>
                </c:pt>
                <c:pt idx="61">
                  <c:v>23214</c:v>
                </c:pt>
                <c:pt idx="62">
                  <c:v>19387</c:v>
                </c:pt>
                <c:pt idx="63">
                  <c:v>53814</c:v>
                </c:pt>
                <c:pt idx="64">
                  <c:v>38568</c:v>
                </c:pt>
                <c:pt idx="65">
                  <c:v>38539</c:v>
                </c:pt>
                <c:pt idx="66">
                  <c:v>15416</c:v>
                </c:pt>
                <c:pt idx="67">
                  <c:v>7684</c:v>
                </c:pt>
                <c:pt idx="68">
                  <c:v>9132</c:v>
                </c:pt>
                <c:pt idx="69">
                  <c:v>27199</c:v>
                </c:pt>
                <c:pt idx="70">
                  <c:v>21614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25-4655-87CF-36AA79FE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4951359"/>
        <c:axId val="2024951839"/>
      </c:barChart>
      <c:lineChart>
        <c:grouping val="standard"/>
        <c:varyColors val="0"/>
        <c:ser>
          <c:idx val="0"/>
          <c:order val="0"/>
          <c:tx>
            <c:strRef>
              <c:f>chart!$I$1</c:f>
              <c:strCache>
                <c:ptCount val="1"/>
                <c:pt idx="0">
                  <c:v>Delta Holding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chart!$H$2:$H$72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chart!$I$2:$I$72</c:f>
              <c:numCache>
                <c:formatCode>General</c:formatCode>
                <c:ptCount val="71"/>
                <c:pt idx="12">
                  <c:v>62442</c:v>
                </c:pt>
                <c:pt idx="13">
                  <c:v>-14660</c:v>
                </c:pt>
                <c:pt idx="14">
                  <c:v>-37672</c:v>
                </c:pt>
                <c:pt idx="15">
                  <c:v>8761</c:v>
                </c:pt>
                <c:pt idx="16">
                  <c:v>7144</c:v>
                </c:pt>
                <c:pt idx="17">
                  <c:v>19433</c:v>
                </c:pt>
                <c:pt idx="18">
                  <c:v>19340</c:v>
                </c:pt>
                <c:pt idx="19">
                  <c:v>41100</c:v>
                </c:pt>
                <c:pt idx="20">
                  <c:v>24860</c:v>
                </c:pt>
                <c:pt idx="21">
                  <c:v>38741</c:v>
                </c:pt>
                <c:pt idx="22">
                  <c:v>51153</c:v>
                </c:pt>
                <c:pt idx="23">
                  <c:v>29522</c:v>
                </c:pt>
                <c:pt idx="24">
                  <c:v>4859</c:v>
                </c:pt>
                <c:pt idx="25">
                  <c:v>37081</c:v>
                </c:pt>
                <c:pt idx="26">
                  <c:v>-28155</c:v>
                </c:pt>
                <c:pt idx="27">
                  <c:v>-79952</c:v>
                </c:pt>
                <c:pt idx="28">
                  <c:v>-53798</c:v>
                </c:pt>
                <c:pt idx="29">
                  <c:v>-53347</c:v>
                </c:pt>
                <c:pt idx="30">
                  <c:v>-92912</c:v>
                </c:pt>
                <c:pt idx="31">
                  <c:v>-133042</c:v>
                </c:pt>
                <c:pt idx="32">
                  <c:v>-196413</c:v>
                </c:pt>
                <c:pt idx="33">
                  <c:v>-235927</c:v>
                </c:pt>
                <c:pt idx="34">
                  <c:v>-225703</c:v>
                </c:pt>
                <c:pt idx="35">
                  <c:v>-219207</c:v>
                </c:pt>
                <c:pt idx="36">
                  <c:v>-184921</c:v>
                </c:pt>
                <c:pt idx="37">
                  <c:v>-210958</c:v>
                </c:pt>
                <c:pt idx="38">
                  <c:v>-123941</c:v>
                </c:pt>
                <c:pt idx="39">
                  <c:v>-68852</c:v>
                </c:pt>
                <c:pt idx="40">
                  <c:v>-106788</c:v>
                </c:pt>
                <c:pt idx="41">
                  <c:v>-125222</c:v>
                </c:pt>
                <c:pt idx="42">
                  <c:v>-116231</c:v>
                </c:pt>
                <c:pt idx="43">
                  <c:v>-87267</c:v>
                </c:pt>
                <c:pt idx="44">
                  <c:v>-37713</c:v>
                </c:pt>
                <c:pt idx="45">
                  <c:v>7355</c:v>
                </c:pt>
                <c:pt idx="46">
                  <c:v>23397</c:v>
                </c:pt>
                <c:pt idx="47">
                  <c:v>34424</c:v>
                </c:pt>
                <c:pt idx="48">
                  <c:v>21466</c:v>
                </c:pt>
                <c:pt idx="49">
                  <c:v>36618</c:v>
                </c:pt>
                <c:pt idx="50">
                  <c:v>46678</c:v>
                </c:pt>
                <c:pt idx="51">
                  <c:v>-22500</c:v>
                </c:pt>
                <c:pt idx="52">
                  <c:v>3837</c:v>
                </c:pt>
                <c:pt idx="53">
                  <c:v>-18590</c:v>
                </c:pt>
                <c:pt idx="54">
                  <c:v>-13762</c:v>
                </c:pt>
                <c:pt idx="55">
                  <c:v>-15400</c:v>
                </c:pt>
                <c:pt idx="56">
                  <c:v>-6622</c:v>
                </c:pt>
                <c:pt idx="57">
                  <c:v>-17170</c:v>
                </c:pt>
                <c:pt idx="58">
                  <c:v>-61987</c:v>
                </c:pt>
                <c:pt idx="59">
                  <c:v>-76628</c:v>
                </c:pt>
                <c:pt idx="60">
                  <c:v>-90020</c:v>
                </c:pt>
                <c:pt idx="61">
                  <c:v>-42424</c:v>
                </c:pt>
                <c:pt idx="62">
                  <c:v>-57007</c:v>
                </c:pt>
                <c:pt idx="63">
                  <c:v>-23261</c:v>
                </c:pt>
                <c:pt idx="64">
                  <c:v>-24537</c:v>
                </c:pt>
                <c:pt idx="65">
                  <c:v>7101</c:v>
                </c:pt>
                <c:pt idx="66">
                  <c:v>356</c:v>
                </c:pt>
                <c:pt idx="67">
                  <c:v>32948</c:v>
                </c:pt>
                <c:pt idx="68">
                  <c:v>63232</c:v>
                </c:pt>
                <c:pt idx="69">
                  <c:v>66668</c:v>
                </c:pt>
                <c:pt idx="70">
                  <c:v>89259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5-4655-87CF-36AA79FE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951359"/>
        <c:axId val="2024951839"/>
      </c:lineChart>
      <c:lineChart>
        <c:grouping val="standard"/>
        <c:varyColors val="0"/>
        <c:ser>
          <c:idx val="3"/>
          <c:order val="3"/>
          <c:tx>
            <c:strRef>
              <c:f>chart!$L$1</c:f>
              <c:strCache>
                <c:ptCount val="1"/>
                <c:pt idx="0">
                  <c:v>Holdings stocks (rhs)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chart!$H$2:$H$72</c:f>
              <c:numCache>
                <c:formatCode>m/d/yyyy</c:formatCode>
                <c:ptCount val="71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  <c:pt idx="12">
                  <c:v>44227</c:v>
                </c:pt>
                <c:pt idx="13">
                  <c:v>44255</c:v>
                </c:pt>
                <c:pt idx="14">
                  <c:v>44286</c:v>
                </c:pt>
                <c:pt idx="15">
                  <c:v>44316</c:v>
                </c:pt>
                <c:pt idx="16">
                  <c:v>44347</c:v>
                </c:pt>
                <c:pt idx="17">
                  <c:v>44377</c:v>
                </c:pt>
                <c:pt idx="18">
                  <c:v>44408</c:v>
                </c:pt>
                <c:pt idx="19">
                  <c:v>44439</c:v>
                </c:pt>
                <c:pt idx="20">
                  <c:v>44469</c:v>
                </c:pt>
                <c:pt idx="21">
                  <c:v>44500</c:v>
                </c:pt>
                <c:pt idx="22">
                  <c:v>44530</c:v>
                </c:pt>
                <c:pt idx="23">
                  <c:v>44561</c:v>
                </c:pt>
                <c:pt idx="24">
                  <c:v>44592</c:v>
                </c:pt>
                <c:pt idx="25">
                  <c:v>44620</c:v>
                </c:pt>
                <c:pt idx="26">
                  <c:v>44651</c:v>
                </c:pt>
                <c:pt idx="27">
                  <c:v>44681</c:v>
                </c:pt>
                <c:pt idx="28">
                  <c:v>44712</c:v>
                </c:pt>
                <c:pt idx="29">
                  <c:v>44742</c:v>
                </c:pt>
                <c:pt idx="30">
                  <c:v>44773</c:v>
                </c:pt>
                <c:pt idx="31">
                  <c:v>44804</c:v>
                </c:pt>
                <c:pt idx="32">
                  <c:v>44834</c:v>
                </c:pt>
                <c:pt idx="33">
                  <c:v>44865</c:v>
                </c:pt>
                <c:pt idx="34">
                  <c:v>44895</c:v>
                </c:pt>
                <c:pt idx="35">
                  <c:v>44926</c:v>
                </c:pt>
                <c:pt idx="36">
                  <c:v>44957</c:v>
                </c:pt>
                <c:pt idx="37">
                  <c:v>44985</c:v>
                </c:pt>
                <c:pt idx="38">
                  <c:v>45016</c:v>
                </c:pt>
                <c:pt idx="39">
                  <c:v>45046</c:v>
                </c:pt>
                <c:pt idx="40">
                  <c:v>45077</c:v>
                </c:pt>
                <c:pt idx="41">
                  <c:v>45107</c:v>
                </c:pt>
                <c:pt idx="42">
                  <c:v>45138</c:v>
                </c:pt>
                <c:pt idx="43">
                  <c:v>45169</c:v>
                </c:pt>
                <c:pt idx="44">
                  <c:v>45199</c:v>
                </c:pt>
                <c:pt idx="45">
                  <c:v>45230</c:v>
                </c:pt>
                <c:pt idx="46">
                  <c:v>45260</c:v>
                </c:pt>
                <c:pt idx="47">
                  <c:v>45291</c:v>
                </c:pt>
                <c:pt idx="48">
                  <c:v>45322</c:v>
                </c:pt>
                <c:pt idx="49">
                  <c:v>45351</c:v>
                </c:pt>
                <c:pt idx="50">
                  <c:v>45382</c:v>
                </c:pt>
                <c:pt idx="51">
                  <c:v>45412</c:v>
                </c:pt>
                <c:pt idx="52">
                  <c:v>45443</c:v>
                </c:pt>
                <c:pt idx="53">
                  <c:v>45473</c:v>
                </c:pt>
                <c:pt idx="54">
                  <c:v>45504</c:v>
                </c:pt>
                <c:pt idx="55">
                  <c:v>45535</c:v>
                </c:pt>
                <c:pt idx="56">
                  <c:v>45565</c:v>
                </c:pt>
                <c:pt idx="57">
                  <c:v>45596</c:v>
                </c:pt>
                <c:pt idx="58">
                  <c:v>45626</c:v>
                </c:pt>
                <c:pt idx="59">
                  <c:v>45657</c:v>
                </c:pt>
                <c:pt idx="60">
                  <c:v>45688</c:v>
                </c:pt>
                <c:pt idx="61">
                  <c:v>45716</c:v>
                </c:pt>
                <c:pt idx="62">
                  <c:v>45747</c:v>
                </c:pt>
                <c:pt idx="63">
                  <c:v>45777</c:v>
                </c:pt>
                <c:pt idx="64">
                  <c:v>45808</c:v>
                </c:pt>
                <c:pt idx="65">
                  <c:v>45838</c:v>
                </c:pt>
                <c:pt idx="66">
                  <c:v>45869</c:v>
                </c:pt>
                <c:pt idx="67">
                  <c:v>45900</c:v>
                </c:pt>
                <c:pt idx="68">
                  <c:v>45930</c:v>
                </c:pt>
                <c:pt idx="69">
                  <c:v>45961</c:v>
                </c:pt>
                <c:pt idx="70">
                  <c:v>45991</c:v>
                </c:pt>
              </c:numCache>
            </c:numRef>
          </c:cat>
          <c:val>
            <c:numRef>
              <c:f>chart!$L$2:$L$72</c:f>
              <c:numCache>
                <c:formatCode>_-* #,##0_-;\-* #,##0_-;_-* "-"??_-;_-@_-</c:formatCode>
                <c:ptCount val="71"/>
                <c:pt idx="0">
                  <c:v>1147586</c:v>
                </c:pt>
                <c:pt idx="1">
                  <c:v>1202367</c:v>
                </c:pt>
                <c:pt idx="2">
                  <c:v>1211747</c:v>
                </c:pt>
                <c:pt idx="3">
                  <c:v>1202355</c:v>
                </c:pt>
                <c:pt idx="4">
                  <c:v>1193317</c:v>
                </c:pt>
                <c:pt idx="5">
                  <c:v>1194934</c:v>
                </c:pt>
                <c:pt idx="6">
                  <c:v>1225897</c:v>
                </c:pt>
                <c:pt idx="7">
                  <c:v>1210275</c:v>
                </c:pt>
                <c:pt idx="8">
                  <c:v>1208762</c:v>
                </c:pt>
                <c:pt idx="9">
                  <c:v>1205240</c:v>
                </c:pt>
                <c:pt idx="10">
                  <c:v>1193190</c:v>
                </c:pt>
                <c:pt idx="11">
                  <c:v>1184556</c:v>
                </c:pt>
                <c:pt idx="12">
                  <c:v>1210028</c:v>
                </c:pt>
                <c:pt idx="13">
                  <c:v>1187707</c:v>
                </c:pt>
                <c:pt idx="14">
                  <c:v>1174075</c:v>
                </c:pt>
                <c:pt idx="15">
                  <c:v>1211116</c:v>
                </c:pt>
                <c:pt idx="16">
                  <c:v>1200461</c:v>
                </c:pt>
                <c:pt idx="17">
                  <c:v>1214367</c:v>
                </c:pt>
                <c:pt idx="18">
                  <c:v>1245237</c:v>
                </c:pt>
                <c:pt idx="19">
                  <c:v>1251375</c:v>
                </c:pt>
                <c:pt idx="20">
                  <c:v>1233622</c:v>
                </c:pt>
                <c:pt idx="21">
                  <c:v>1243981</c:v>
                </c:pt>
                <c:pt idx="22">
                  <c:v>1244343</c:v>
                </c:pt>
                <c:pt idx="23">
                  <c:v>1214078</c:v>
                </c:pt>
                <c:pt idx="24">
                  <c:v>1214887</c:v>
                </c:pt>
                <c:pt idx="25">
                  <c:v>1224788</c:v>
                </c:pt>
                <c:pt idx="26">
                  <c:v>1145920</c:v>
                </c:pt>
                <c:pt idx="27">
                  <c:v>1131164</c:v>
                </c:pt>
                <c:pt idx="28">
                  <c:v>1146663</c:v>
                </c:pt>
                <c:pt idx="29">
                  <c:v>1161020</c:v>
                </c:pt>
                <c:pt idx="30">
                  <c:v>1152325</c:v>
                </c:pt>
                <c:pt idx="31">
                  <c:v>1118333</c:v>
                </c:pt>
                <c:pt idx="32">
                  <c:v>1037209</c:v>
                </c:pt>
                <c:pt idx="33">
                  <c:v>1008054</c:v>
                </c:pt>
                <c:pt idx="34">
                  <c:v>1018640</c:v>
                </c:pt>
                <c:pt idx="35">
                  <c:v>994871</c:v>
                </c:pt>
                <c:pt idx="36">
                  <c:v>1029966</c:v>
                </c:pt>
                <c:pt idx="37">
                  <c:v>1013830</c:v>
                </c:pt>
                <c:pt idx="38">
                  <c:v>1021979</c:v>
                </c:pt>
                <c:pt idx="39">
                  <c:v>1062312</c:v>
                </c:pt>
                <c:pt idx="40">
                  <c:v>1039875</c:v>
                </c:pt>
                <c:pt idx="41">
                  <c:v>1035798</c:v>
                </c:pt>
                <c:pt idx="42">
                  <c:v>1036094</c:v>
                </c:pt>
                <c:pt idx="43">
                  <c:v>1031066</c:v>
                </c:pt>
                <c:pt idx="44">
                  <c:v>999496</c:v>
                </c:pt>
                <c:pt idx="45">
                  <c:v>1015409</c:v>
                </c:pt>
                <c:pt idx="46">
                  <c:v>1042037</c:v>
                </c:pt>
                <c:pt idx="47">
                  <c:v>1029295</c:v>
                </c:pt>
                <c:pt idx="48">
                  <c:v>1051432</c:v>
                </c:pt>
                <c:pt idx="49">
                  <c:v>1050448</c:v>
                </c:pt>
                <c:pt idx="50">
                  <c:v>1068657</c:v>
                </c:pt>
                <c:pt idx="51">
                  <c:v>1039812</c:v>
                </c:pt>
                <c:pt idx="52">
                  <c:v>1043712</c:v>
                </c:pt>
                <c:pt idx="53">
                  <c:v>1017208</c:v>
                </c:pt>
                <c:pt idx="54">
                  <c:v>1022332</c:v>
                </c:pt>
                <c:pt idx="55">
                  <c:v>1015666</c:v>
                </c:pt>
                <c:pt idx="56">
                  <c:v>992874</c:v>
                </c:pt>
                <c:pt idx="57">
                  <c:v>998239</c:v>
                </c:pt>
                <c:pt idx="58">
                  <c:v>980050</c:v>
                </c:pt>
                <c:pt idx="59">
                  <c:v>952667</c:v>
                </c:pt>
                <c:pt idx="60">
                  <c:v>961412</c:v>
                </c:pt>
                <c:pt idx="61">
                  <c:v>1008024</c:v>
                </c:pt>
                <c:pt idx="62">
                  <c:v>1011650</c:v>
                </c:pt>
                <c:pt idx="63">
                  <c:v>1016551</c:v>
                </c:pt>
                <c:pt idx="64">
                  <c:v>1019175</c:v>
                </c:pt>
                <c:pt idx="65">
                  <c:v>1024309</c:v>
                </c:pt>
                <c:pt idx="66">
                  <c:v>1022688</c:v>
                </c:pt>
                <c:pt idx="67">
                  <c:v>1048614</c:v>
                </c:pt>
                <c:pt idx="68">
                  <c:v>1056106</c:v>
                </c:pt>
                <c:pt idx="69">
                  <c:v>1064907</c:v>
                </c:pt>
                <c:pt idx="70">
                  <c:v>1069309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25-4655-87CF-36AA79FE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938879"/>
        <c:axId val="2024947519"/>
      </c:lineChart>
      <c:dateAx>
        <c:axId val="20249513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4951839"/>
        <c:crosses val="autoZero"/>
        <c:auto val="1"/>
        <c:lblOffset val="100"/>
        <c:baseTimeUnit val="months"/>
      </c:dateAx>
      <c:valAx>
        <c:axId val="202495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4951359"/>
        <c:crosses val="autoZero"/>
        <c:crossBetween val="between"/>
      </c:valAx>
      <c:valAx>
        <c:axId val="2024947519"/>
        <c:scaling>
          <c:orientation val="minMax"/>
          <c:min val="900000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4938879"/>
        <c:crosses val="max"/>
        <c:crossBetween val="between"/>
      </c:valAx>
      <c:dateAx>
        <c:axId val="20249388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24947519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33</xdr:row>
      <xdr:rowOff>57150</xdr:rowOff>
    </xdr:from>
    <xdr:to>
      <xdr:col>24</xdr:col>
      <xdr:colOff>361951</xdr:colOff>
      <xdr:row>53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0931A-4926-4BA3-9B6B-4DC3A7403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428625</xdr:colOff>
      <xdr:row>59</xdr:row>
      <xdr:rowOff>0</xdr:rowOff>
    </xdr:from>
    <xdr:to>
      <xdr:col>28</xdr:col>
      <xdr:colOff>133349</xdr:colOff>
      <xdr:row>87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3427E8-963F-1430-FC81-749406D62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workbookViewId="0"/>
  </sheetViews>
  <sheetFormatPr defaultColWidth="11.42578125" defaultRowHeight="15" x14ac:dyDescent="0.25"/>
  <sheetData>
    <row r="1" spans="1:20" x14ac:dyDescent="0.25">
      <c r="G1" t="s">
        <v>21</v>
      </c>
      <c r="H1" t="s">
        <v>22</v>
      </c>
      <c r="I1" t="s">
        <v>23</v>
      </c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 x14ac:dyDescent="0.25">
      <c r="A3" t="s">
        <v>20</v>
      </c>
      <c r="B3">
        <v>42609</v>
      </c>
      <c r="C3" s="1">
        <v>43861</v>
      </c>
      <c r="D3">
        <v>2372970</v>
      </c>
      <c r="G3">
        <v>1147586</v>
      </c>
      <c r="J3">
        <v>305664</v>
      </c>
      <c r="M3">
        <v>277666</v>
      </c>
      <c r="P3">
        <v>642054</v>
      </c>
      <c r="S3">
        <v>1147.586</v>
      </c>
      <c r="T3">
        <v>642.05399999999997</v>
      </c>
    </row>
    <row r="4" spans="1:20" x14ac:dyDescent="0.25">
      <c r="A4" t="s">
        <v>20</v>
      </c>
      <c r="B4">
        <v>42609</v>
      </c>
      <c r="C4" s="1">
        <v>43890</v>
      </c>
      <c r="D4">
        <v>2383523</v>
      </c>
      <c r="G4">
        <v>1202367</v>
      </c>
      <c r="J4">
        <v>310621</v>
      </c>
      <c r="M4">
        <v>279199</v>
      </c>
      <c r="P4">
        <v>591336</v>
      </c>
      <c r="S4">
        <v>1202.367</v>
      </c>
      <c r="T4">
        <v>591.33600000000001</v>
      </c>
    </row>
    <row r="5" spans="1:20" x14ac:dyDescent="0.25">
      <c r="A5" t="s">
        <v>20</v>
      </c>
      <c r="B5">
        <v>42609</v>
      </c>
      <c r="C5" s="1">
        <v>43921</v>
      </c>
      <c r="D5">
        <v>2340722</v>
      </c>
      <c r="G5">
        <v>1211747</v>
      </c>
      <c r="J5">
        <v>322108</v>
      </c>
      <c r="M5">
        <v>277159</v>
      </c>
      <c r="P5">
        <v>529708</v>
      </c>
      <c r="S5">
        <v>1211.7470000000001</v>
      </c>
      <c r="T5">
        <v>529.70799999999997</v>
      </c>
    </row>
    <row r="6" spans="1:20" x14ac:dyDescent="0.25">
      <c r="A6" t="s">
        <v>20</v>
      </c>
      <c r="B6">
        <v>42609</v>
      </c>
      <c r="C6" s="1">
        <v>43951</v>
      </c>
      <c r="D6">
        <v>2423361</v>
      </c>
      <c r="G6">
        <v>1202355</v>
      </c>
      <c r="J6">
        <v>319937</v>
      </c>
      <c r="M6">
        <v>294658</v>
      </c>
      <c r="P6">
        <v>606411</v>
      </c>
      <c r="S6">
        <v>1202.355</v>
      </c>
      <c r="T6">
        <v>606.41099999999994</v>
      </c>
    </row>
    <row r="7" spans="1:20" x14ac:dyDescent="0.25">
      <c r="A7" t="s">
        <v>20</v>
      </c>
      <c r="B7">
        <v>42609</v>
      </c>
      <c r="C7" s="1">
        <v>43982</v>
      </c>
      <c r="D7">
        <v>2461811</v>
      </c>
      <c r="G7">
        <v>1193317</v>
      </c>
      <c r="J7">
        <v>311615</v>
      </c>
      <c r="M7">
        <v>306764</v>
      </c>
      <c r="P7">
        <v>650115</v>
      </c>
      <c r="S7">
        <v>1193.317</v>
      </c>
      <c r="T7">
        <v>650.11500000000001</v>
      </c>
    </row>
    <row r="8" spans="1:20" x14ac:dyDescent="0.25">
      <c r="A8" t="s">
        <v>20</v>
      </c>
      <c r="B8">
        <v>42609</v>
      </c>
      <c r="C8" s="1">
        <v>44012</v>
      </c>
      <c r="D8">
        <v>2480775</v>
      </c>
      <c r="G8">
        <v>1194934</v>
      </c>
      <c r="J8">
        <v>308203</v>
      </c>
      <c r="M8">
        <v>311174</v>
      </c>
      <c r="P8">
        <v>666464</v>
      </c>
      <c r="S8">
        <v>1194.934</v>
      </c>
      <c r="T8">
        <v>666.46400000000006</v>
      </c>
    </row>
    <row r="9" spans="1:20" x14ac:dyDescent="0.25">
      <c r="A9" t="s">
        <v>20</v>
      </c>
      <c r="B9">
        <v>42609</v>
      </c>
      <c r="C9" s="1">
        <v>44043</v>
      </c>
      <c r="D9">
        <v>2567622</v>
      </c>
      <c r="G9">
        <v>1225897</v>
      </c>
      <c r="J9">
        <v>309610</v>
      </c>
      <c r="M9">
        <v>316792</v>
      </c>
      <c r="P9">
        <v>715323</v>
      </c>
      <c r="S9">
        <v>1225.8969999999999</v>
      </c>
      <c r="T9">
        <v>715.32299999999998</v>
      </c>
    </row>
    <row r="10" spans="1:20" x14ac:dyDescent="0.25">
      <c r="A10" t="s">
        <v>20</v>
      </c>
      <c r="B10">
        <v>42609</v>
      </c>
      <c r="C10" s="1">
        <v>44074</v>
      </c>
      <c r="D10">
        <v>2583596</v>
      </c>
      <c r="G10">
        <v>1210275</v>
      </c>
      <c r="J10">
        <v>300534</v>
      </c>
      <c r="M10">
        <v>316586</v>
      </c>
      <c r="P10">
        <v>756201</v>
      </c>
      <c r="S10">
        <v>1210.2750000000001</v>
      </c>
      <c r="T10">
        <v>756.20100000000002</v>
      </c>
    </row>
    <row r="11" spans="1:20" x14ac:dyDescent="0.25">
      <c r="A11" t="s">
        <v>20</v>
      </c>
      <c r="B11">
        <v>42609</v>
      </c>
      <c r="C11" s="1">
        <v>44104</v>
      </c>
      <c r="D11">
        <v>2556410</v>
      </c>
      <c r="G11">
        <v>1208762</v>
      </c>
      <c r="J11">
        <v>305069</v>
      </c>
      <c r="M11">
        <v>312109</v>
      </c>
      <c r="P11">
        <v>730470</v>
      </c>
      <c r="S11">
        <v>1208.7619999999999</v>
      </c>
      <c r="T11">
        <v>730.47</v>
      </c>
    </row>
    <row r="12" spans="1:20" x14ac:dyDescent="0.25">
      <c r="A12" t="s">
        <v>20</v>
      </c>
      <c r="B12">
        <v>42609</v>
      </c>
      <c r="C12" s="1">
        <v>44135</v>
      </c>
      <c r="D12">
        <v>2537549</v>
      </c>
      <c r="G12">
        <v>1205240</v>
      </c>
      <c r="J12">
        <v>305638</v>
      </c>
      <c r="M12">
        <v>312442</v>
      </c>
      <c r="P12">
        <v>714229</v>
      </c>
      <c r="S12">
        <v>1205.24</v>
      </c>
      <c r="T12">
        <v>714.22900000000004</v>
      </c>
    </row>
    <row r="13" spans="1:20" x14ac:dyDescent="0.25">
      <c r="A13" t="s">
        <v>20</v>
      </c>
      <c r="B13">
        <v>42609</v>
      </c>
      <c r="C13" s="1">
        <v>44165</v>
      </c>
      <c r="D13">
        <v>2600898</v>
      </c>
      <c r="G13">
        <v>1193190</v>
      </c>
      <c r="J13">
        <v>303509</v>
      </c>
      <c r="M13">
        <v>320144</v>
      </c>
      <c r="P13">
        <v>784055</v>
      </c>
      <c r="S13">
        <v>1193.19</v>
      </c>
      <c r="T13">
        <v>784.05499999999995</v>
      </c>
    </row>
    <row r="14" spans="1:20" x14ac:dyDescent="0.25">
      <c r="A14" t="s">
        <v>20</v>
      </c>
      <c r="B14">
        <v>42609</v>
      </c>
      <c r="C14" s="1">
        <v>44196</v>
      </c>
      <c r="D14">
        <v>2614130</v>
      </c>
      <c r="G14">
        <v>1184556</v>
      </c>
      <c r="J14">
        <v>308033</v>
      </c>
      <c r="M14">
        <v>317186</v>
      </c>
      <c r="P14">
        <v>804355</v>
      </c>
      <c r="S14">
        <v>1184.556</v>
      </c>
      <c r="T14">
        <v>804.35500000000002</v>
      </c>
    </row>
    <row r="15" spans="1:20" x14ac:dyDescent="0.25">
      <c r="A15" t="s">
        <v>20</v>
      </c>
      <c r="B15">
        <v>42609</v>
      </c>
      <c r="C15" s="1">
        <v>44227</v>
      </c>
      <c r="D15">
        <v>2652174</v>
      </c>
      <c r="G15">
        <v>1210028</v>
      </c>
      <c r="J15">
        <v>328256</v>
      </c>
      <c r="M15">
        <v>312008</v>
      </c>
      <c r="P15">
        <v>801882</v>
      </c>
      <c r="S15">
        <v>1210.028</v>
      </c>
      <c r="T15">
        <v>801.88199999999995</v>
      </c>
    </row>
    <row r="16" spans="1:20" x14ac:dyDescent="0.25">
      <c r="A16" t="s">
        <v>20</v>
      </c>
      <c r="B16">
        <v>42609</v>
      </c>
      <c r="C16" s="1">
        <v>44255</v>
      </c>
      <c r="D16">
        <v>2621936</v>
      </c>
      <c r="G16">
        <v>1187707</v>
      </c>
      <c r="J16">
        <v>331689</v>
      </c>
      <c r="M16">
        <v>304373</v>
      </c>
      <c r="P16">
        <v>798167</v>
      </c>
      <c r="S16">
        <v>1187.7070000000001</v>
      </c>
      <c r="T16">
        <v>798.16700000000003</v>
      </c>
    </row>
    <row r="17" spans="1:20" x14ac:dyDescent="0.25">
      <c r="A17" t="s">
        <v>20</v>
      </c>
      <c r="B17">
        <v>42609</v>
      </c>
      <c r="C17" s="1">
        <v>44286</v>
      </c>
      <c r="D17">
        <v>2593659</v>
      </c>
      <c r="G17">
        <v>1174075</v>
      </c>
      <c r="J17">
        <v>319588</v>
      </c>
      <c r="M17">
        <v>296641</v>
      </c>
      <c r="P17">
        <v>803355</v>
      </c>
      <c r="S17">
        <v>1174.075</v>
      </c>
      <c r="T17">
        <v>803.35500000000002</v>
      </c>
    </row>
    <row r="18" spans="1:20" x14ac:dyDescent="0.25">
      <c r="A18" t="s">
        <v>20</v>
      </c>
      <c r="B18">
        <v>42609</v>
      </c>
      <c r="C18" s="1">
        <v>44316</v>
      </c>
      <c r="D18">
        <v>2667946</v>
      </c>
      <c r="G18">
        <v>1211116</v>
      </c>
      <c r="J18">
        <v>322137</v>
      </c>
      <c r="M18">
        <v>302529</v>
      </c>
      <c r="P18">
        <v>832164</v>
      </c>
      <c r="S18">
        <v>1211.116</v>
      </c>
      <c r="T18">
        <v>832.16399999999999</v>
      </c>
    </row>
    <row r="19" spans="1:20" x14ac:dyDescent="0.25">
      <c r="A19" t="s">
        <v>20</v>
      </c>
      <c r="B19">
        <v>42609</v>
      </c>
      <c r="C19" s="1">
        <v>44347</v>
      </c>
      <c r="D19">
        <v>2660375</v>
      </c>
      <c r="G19">
        <v>1200461</v>
      </c>
      <c r="J19">
        <v>319618</v>
      </c>
      <c r="M19">
        <v>300738</v>
      </c>
      <c r="P19">
        <v>839558</v>
      </c>
      <c r="S19">
        <v>1200.461</v>
      </c>
      <c r="T19">
        <v>839.55799999999999</v>
      </c>
    </row>
    <row r="20" spans="1:20" x14ac:dyDescent="0.25">
      <c r="A20" t="s">
        <v>20</v>
      </c>
      <c r="B20">
        <v>42609</v>
      </c>
      <c r="C20" s="1">
        <v>44377</v>
      </c>
      <c r="D20">
        <v>2701355</v>
      </c>
      <c r="G20">
        <v>1214367</v>
      </c>
      <c r="J20">
        <v>311576</v>
      </c>
      <c r="M20">
        <v>309459</v>
      </c>
      <c r="P20">
        <v>865953</v>
      </c>
      <c r="S20">
        <v>1214.367</v>
      </c>
      <c r="T20">
        <v>865.95299999999997</v>
      </c>
    </row>
    <row r="21" spans="1:20" x14ac:dyDescent="0.25">
      <c r="A21" t="s">
        <v>20</v>
      </c>
      <c r="B21">
        <v>42609</v>
      </c>
      <c r="C21" s="1">
        <v>44408</v>
      </c>
      <c r="D21">
        <v>2752492</v>
      </c>
      <c r="G21">
        <v>1245237</v>
      </c>
      <c r="J21">
        <v>313076</v>
      </c>
      <c r="M21">
        <v>313761</v>
      </c>
      <c r="P21">
        <v>880418</v>
      </c>
      <c r="S21">
        <v>1245.2370000000001</v>
      </c>
      <c r="T21">
        <v>880.41800000000001</v>
      </c>
    </row>
    <row r="22" spans="1:20" x14ac:dyDescent="0.25">
      <c r="A22" t="s">
        <v>20</v>
      </c>
      <c r="B22">
        <v>42609</v>
      </c>
      <c r="C22" s="1">
        <v>44439</v>
      </c>
      <c r="D22">
        <v>2791898</v>
      </c>
      <c r="G22">
        <v>1251375</v>
      </c>
      <c r="J22">
        <v>307672</v>
      </c>
      <c r="M22">
        <v>323906</v>
      </c>
      <c r="P22">
        <v>908945</v>
      </c>
      <c r="S22">
        <v>1251.375</v>
      </c>
      <c r="T22">
        <v>908.94500000000005</v>
      </c>
    </row>
    <row r="23" spans="1:20" x14ac:dyDescent="0.25">
      <c r="A23" t="s">
        <v>20</v>
      </c>
      <c r="B23">
        <v>42609</v>
      </c>
      <c r="C23" s="1">
        <v>44469</v>
      </c>
      <c r="D23">
        <v>2713593</v>
      </c>
      <c r="G23">
        <v>1233622</v>
      </c>
      <c r="J23">
        <v>310272</v>
      </c>
      <c r="M23">
        <v>311883</v>
      </c>
      <c r="P23">
        <v>857816</v>
      </c>
      <c r="S23">
        <v>1233.6220000000001</v>
      </c>
      <c r="T23">
        <v>857.81600000000003</v>
      </c>
    </row>
    <row r="24" spans="1:20" x14ac:dyDescent="0.25">
      <c r="A24" t="s">
        <v>20</v>
      </c>
      <c r="B24">
        <v>42609</v>
      </c>
      <c r="C24" s="1">
        <v>44500</v>
      </c>
      <c r="D24">
        <v>2772522</v>
      </c>
      <c r="G24">
        <v>1243981</v>
      </c>
      <c r="J24">
        <v>307483</v>
      </c>
      <c r="M24">
        <v>311756</v>
      </c>
      <c r="P24">
        <v>909302</v>
      </c>
      <c r="S24">
        <v>1243.981</v>
      </c>
      <c r="T24">
        <v>909.30200000000002</v>
      </c>
    </row>
    <row r="25" spans="1:20" x14ac:dyDescent="0.25">
      <c r="A25" t="s">
        <v>20</v>
      </c>
      <c r="B25">
        <v>42609</v>
      </c>
      <c r="C25" s="1">
        <v>44530</v>
      </c>
      <c r="D25">
        <v>2748364</v>
      </c>
      <c r="G25">
        <v>1244343</v>
      </c>
      <c r="J25">
        <v>299673</v>
      </c>
      <c r="M25">
        <v>317870</v>
      </c>
      <c r="P25">
        <v>886478</v>
      </c>
      <c r="S25">
        <v>1244.3430000000001</v>
      </c>
      <c r="T25">
        <v>886.47799999999995</v>
      </c>
    </row>
    <row r="26" spans="1:20" x14ac:dyDescent="0.25">
      <c r="A26" t="s">
        <v>20</v>
      </c>
      <c r="B26">
        <v>42609</v>
      </c>
      <c r="C26" s="1">
        <v>44561</v>
      </c>
      <c r="D26">
        <v>2761929</v>
      </c>
      <c r="G26">
        <v>1214078</v>
      </c>
      <c r="J26">
        <v>301979</v>
      </c>
      <c r="M26">
        <v>321573</v>
      </c>
      <c r="P26">
        <v>924299</v>
      </c>
      <c r="S26">
        <v>1214.078</v>
      </c>
      <c r="T26">
        <v>924.29899999999998</v>
      </c>
    </row>
    <row r="27" spans="1:20" x14ac:dyDescent="0.25">
      <c r="A27" t="s">
        <v>20</v>
      </c>
      <c r="B27">
        <v>42609</v>
      </c>
      <c r="C27" s="1">
        <v>44592</v>
      </c>
      <c r="D27">
        <v>2671555</v>
      </c>
      <c r="G27">
        <v>1214887</v>
      </c>
      <c r="J27">
        <v>286969</v>
      </c>
      <c r="M27">
        <v>308460</v>
      </c>
      <c r="P27">
        <v>861239</v>
      </c>
      <c r="S27">
        <v>1214.8869999999999</v>
      </c>
      <c r="T27">
        <v>861.23900000000003</v>
      </c>
    </row>
    <row r="28" spans="1:20" x14ac:dyDescent="0.25">
      <c r="A28" t="s">
        <v>20</v>
      </c>
      <c r="B28">
        <v>42609</v>
      </c>
      <c r="C28" s="1">
        <v>44620</v>
      </c>
      <c r="D28">
        <v>2641015</v>
      </c>
      <c r="G28">
        <v>1224788</v>
      </c>
      <c r="J28">
        <v>277640</v>
      </c>
      <c r="M28">
        <v>301805</v>
      </c>
      <c r="P28">
        <v>836782</v>
      </c>
      <c r="S28">
        <v>1224.788</v>
      </c>
      <c r="T28">
        <v>836.78200000000004</v>
      </c>
    </row>
    <row r="29" spans="1:20" x14ac:dyDescent="0.25">
      <c r="A29" t="s">
        <v>20</v>
      </c>
      <c r="B29">
        <v>42609</v>
      </c>
      <c r="C29" s="1">
        <v>44651</v>
      </c>
      <c r="D29">
        <v>2560612</v>
      </c>
      <c r="G29">
        <v>1145920</v>
      </c>
      <c r="J29">
        <v>259844</v>
      </c>
      <c r="M29">
        <v>297005</v>
      </c>
      <c r="P29">
        <v>857843</v>
      </c>
      <c r="S29">
        <v>1145.92</v>
      </c>
      <c r="T29">
        <v>857.84299999999996</v>
      </c>
    </row>
    <row r="30" spans="1:20" x14ac:dyDescent="0.25">
      <c r="A30" t="s">
        <v>20</v>
      </c>
      <c r="B30">
        <v>42609</v>
      </c>
      <c r="C30" s="1">
        <v>44681</v>
      </c>
      <c r="D30">
        <v>2432060</v>
      </c>
      <c r="G30">
        <v>1131164</v>
      </c>
      <c r="J30">
        <v>248874</v>
      </c>
      <c r="M30">
        <v>286420</v>
      </c>
      <c r="P30">
        <v>765602</v>
      </c>
      <c r="S30">
        <v>1131.164</v>
      </c>
      <c r="T30">
        <v>765.60199999999998</v>
      </c>
    </row>
    <row r="31" spans="1:20" x14ac:dyDescent="0.25">
      <c r="A31" t="s">
        <v>20</v>
      </c>
      <c r="B31">
        <v>42609</v>
      </c>
      <c r="C31" s="1">
        <v>44712</v>
      </c>
      <c r="D31">
        <v>2465686</v>
      </c>
      <c r="G31">
        <v>1146663</v>
      </c>
      <c r="J31">
        <v>252498</v>
      </c>
      <c r="M31">
        <v>283831</v>
      </c>
      <c r="P31">
        <v>782694</v>
      </c>
      <c r="S31">
        <v>1146.663</v>
      </c>
      <c r="T31">
        <v>782.69399999999996</v>
      </c>
    </row>
    <row r="32" spans="1:20" x14ac:dyDescent="0.25">
      <c r="A32" t="s">
        <v>20</v>
      </c>
      <c r="B32">
        <v>42609</v>
      </c>
      <c r="C32" s="1">
        <v>44742</v>
      </c>
      <c r="D32">
        <v>2416726</v>
      </c>
      <c r="G32">
        <v>1161020</v>
      </c>
      <c r="J32">
        <v>231437</v>
      </c>
      <c r="M32">
        <v>295183</v>
      </c>
      <c r="P32">
        <v>729086</v>
      </c>
      <c r="S32">
        <v>1161.02</v>
      </c>
      <c r="T32">
        <v>729.08600000000001</v>
      </c>
    </row>
    <row r="33" spans="1:20" x14ac:dyDescent="0.25">
      <c r="A33" t="s">
        <v>20</v>
      </c>
      <c r="B33">
        <v>42609</v>
      </c>
      <c r="C33" s="1">
        <v>44773</v>
      </c>
      <c r="D33">
        <v>2490174</v>
      </c>
      <c r="G33">
        <v>1152325</v>
      </c>
      <c r="J33">
        <v>237898</v>
      </c>
      <c r="M33">
        <v>297369</v>
      </c>
      <c r="P33">
        <v>802582</v>
      </c>
      <c r="S33">
        <v>1152.325</v>
      </c>
      <c r="T33">
        <v>802.58199999999999</v>
      </c>
    </row>
    <row r="34" spans="1:20" x14ac:dyDescent="0.25">
      <c r="A34" t="s">
        <v>20</v>
      </c>
      <c r="B34">
        <v>42609</v>
      </c>
      <c r="C34" s="1">
        <v>44804</v>
      </c>
      <c r="D34">
        <v>2453606</v>
      </c>
      <c r="G34">
        <v>1118333</v>
      </c>
      <c r="J34">
        <v>253008</v>
      </c>
      <c r="M34">
        <v>307351</v>
      </c>
      <c r="P34">
        <v>774914</v>
      </c>
      <c r="S34">
        <v>1118.3330000000001</v>
      </c>
      <c r="T34">
        <v>774.91399999999999</v>
      </c>
    </row>
    <row r="35" spans="1:20" x14ac:dyDescent="0.25">
      <c r="A35" t="s">
        <v>20</v>
      </c>
      <c r="B35">
        <v>42609</v>
      </c>
      <c r="C35" s="1">
        <v>44834</v>
      </c>
      <c r="D35">
        <v>2264425</v>
      </c>
      <c r="G35">
        <v>1037209</v>
      </c>
      <c r="J35">
        <v>232769</v>
      </c>
      <c r="M35">
        <v>291777</v>
      </c>
      <c r="P35">
        <v>702670</v>
      </c>
      <c r="S35">
        <v>1037.2090000000001</v>
      </c>
      <c r="T35">
        <v>702.67</v>
      </c>
    </row>
    <row r="36" spans="1:20" x14ac:dyDescent="0.25">
      <c r="A36" t="s">
        <v>20</v>
      </c>
      <c r="B36">
        <v>42609</v>
      </c>
      <c r="C36" s="1">
        <v>44865</v>
      </c>
      <c r="D36">
        <v>2292536</v>
      </c>
      <c r="G36">
        <v>1008054</v>
      </c>
      <c r="J36">
        <v>242173</v>
      </c>
      <c r="M36">
        <v>289590</v>
      </c>
      <c r="P36">
        <v>752719</v>
      </c>
      <c r="S36">
        <v>1008.054</v>
      </c>
      <c r="T36">
        <v>752.71900000000005</v>
      </c>
    </row>
    <row r="37" spans="1:20" x14ac:dyDescent="0.25">
      <c r="A37" t="s">
        <v>20</v>
      </c>
      <c r="B37">
        <v>42609</v>
      </c>
      <c r="C37" s="1">
        <v>44895</v>
      </c>
      <c r="D37">
        <v>2341915</v>
      </c>
      <c r="G37">
        <v>1018640</v>
      </c>
      <c r="J37">
        <v>247841</v>
      </c>
      <c r="M37">
        <v>298280</v>
      </c>
      <c r="P37">
        <v>777154</v>
      </c>
      <c r="S37">
        <v>1018.64</v>
      </c>
      <c r="T37">
        <v>777.154</v>
      </c>
    </row>
    <row r="38" spans="1:20" x14ac:dyDescent="0.25">
      <c r="A38" t="s">
        <v>20</v>
      </c>
      <c r="B38">
        <v>42609</v>
      </c>
      <c r="C38" s="1">
        <v>44926</v>
      </c>
      <c r="D38">
        <v>2282359</v>
      </c>
      <c r="G38">
        <v>994871</v>
      </c>
      <c r="J38">
        <v>247646</v>
      </c>
      <c r="M38">
        <v>297673</v>
      </c>
      <c r="P38">
        <v>742169</v>
      </c>
      <c r="S38">
        <v>994.87099999999998</v>
      </c>
      <c r="T38">
        <v>742.16899999999998</v>
      </c>
    </row>
    <row r="39" spans="1:20" x14ac:dyDescent="0.25">
      <c r="A39" t="s">
        <v>20</v>
      </c>
      <c r="B39">
        <v>42609</v>
      </c>
      <c r="C39" s="1">
        <v>44957</v>
      </c>
      <c r="D39">
        <v>2392112</v>
      </c>
      <c r="G39">
        <v>1029966</v>
      </c>
      <c r="J39">
        <v>255139</v>
      </c>
      <c r="M39">
        <v>302333</v>
      </c>
      <c r="P39">
        <v>804674</v>
      </c>
      <c r="S39">
        <v>1029.9659999999999</v>
      </c>
      <c r="T39">
        <v>804.67399999999998</v>
      </c>
    </row>
    <row r="40" spans="1:20" x14ac:dyDescent="0.25">
      <c r="A40" t="s">
        <v>20</v>
      </c>
      <c r="B40">
        <v>42609</v>
      </c>
      <c r="C40" s="1">
        <v>44985</v>
      </c>
      <c r="D40">
        <v>2337937</v>
      </c>
      <c r="E40">
        <v>4234</v>
      </c>
      <c r="F40">
        <v>-58007</v>
      </c>
      <c r="G40">
        <v>1013830</v>
      </c>
      <c r="H40">
        <v>4458</v>
      </c>
      <c r="I40">
        <v>-15677</v>
      </c>
      <c r="J40">
        <v>251696</v>
      </c>
      <c r="K40">
        <v>3326</v>
      </c>
      <c r="L40">
        <v>-6241</v>
      </c>
      <c r="M40">
        <v>301466</v>
      </c>
      <c r="N40">
        <v>9712</v>
      </c>
      <c r="O40">
        <v>-13427</v>
      </c>
      <c r="P40">
        <v>770945</v>
      </c>
      <c r="Q40">
        <v>-13262</v>
      </c>
      <c r="R40">
        <v>-22662</v>
      </c>
      <c r="S40">
        <v>1013.83</v>
      </c>
      <c r="T40">
        <v>770.94500000000005</v>
      </c>
    </row>
    <row r="41" spans="1:20" x14ac:dyDescent="0.25">
      <c r="A41" t="s">
        <v>20</v>
      </c>
      <c r="B41">
        <v>42609</v>
      </c>
      <c r="C41" s="1">
        <v>45016</v>
      </c>
      <c r="D41">
        <v>2381403</v>
      </c>
      <c r="E41">
        <v>-10332</v>
      </c>
      <c r="F41">
        <v>49674</v>
      </c>
      <c r="G41">
        <v>1021979</v>
      </c>
      <c r="H41">
        <v>-16470</v>
      </c>
      <c r="I41">
        <v>21569</v>
      </c>
      <c r="J41">
        <v>257480</v>
      </c>
      <c r="K41">
        <v>917</v>
      </c>
      <c r="L41">
        <v>4648</v>
      </c>
      <c r="M41">
        <v>308040</v>
      </c>
      <c r="N41">
        <v>422</v>
      </c>
      <c r="O41">
        <v>5960</v>
      </c>
      <c r="P41">
        <v>793904</v>
      </c>
      <c r="Q41">
        <v>4799</v>
      </c>
      <c r="R41">
        <v>17497</v>
      </c>
      <c r="S41">
        <v>1021.979</v>
      </c>
      <c r="T41">
        <v>793.904</v>
      </c>
    </row>
    <row r="42" spans="1:20" x14ac:dyDescent="0.25">
      <c r="A42" t="s">
        <v>20</v>
      </c>
      <c r="B42">
        <v>42609</v>
      </c>
      <c r="C42" s="1">
        <v>45046</v>
      </c>
      <c r="D42">
        <v>2427427</v>
      </c>
      <c r="E42">
        <v>33605</v>
      </c>
      <c r="F42">
        <v>11874</v>
      </c>
      <c r="G42">
        <v>1062312</v>
      </c>
      <c r="H42">
        <v>35588</v>
      </c>
      <c r="I42">
        <v>4354</v>
      </c>
      <c r="J42">
        <v>256706</v>
      </c>
      <c r="K42">
        <v>-1129</v>
      </c>
      <c r="L42">
        <v>712</v>
      </c>
      <c r="M42">
        <v>309508</v>
      </c>
      <c r="N42">
        <v>1166</v>
      </c>
      <c r="O42">
        <v>-136</v>
      </c>
      <c r="P42">
        <v>798901</v>
      </c>
      <c r="Q42">
        <v>-2020</v>
      </c>
      <c r="R42">
        <v>6944</v>
      </c>
      <c r="S42">
        <v>1062.3119999999999</v>
      </c>
      <c r="T42">
        <v>798.90099999999995</v>
      </c>
    </row>
    <row r="43" spans="1:20" x14ac:dyDescent="0.25">
      <c r="A43" t="s">
        <v>20</v>
      </c>
      <c r="B43">
        <v>42609</v>
      </c>
      <c r="C43" s="1">
        <v>45077</v>
      </c>
      <c r="D43">
        <v>2397312</v>
      </c>
      <c r="E43">
        <v>-9246</v>
      </c>
      <c r="F43">
        <v>-19739</v>
      </c>
      <c r="G43">
        <v>1039875</v>
      </c>
      <c r="H43">
        <v>-7992</v>
      </c>
      <c r="I43">
        <v>-13860</v>
      </c>
      <c r="J43">
        <v>256575</v>
      </c>
      <c r="K43">
        <v>2115</v>
      </c>
      <c r="L43">
        <v>-1859</v>
      </c>
      <c r="M43">
        <v>306149</v>
      </c>
      <c r="N43">
        <v>1811</v>
      </c>
      <c r="O43">
        <v>-4535</v>
      </c>
      <c r="P43">
        <v>794713</v>
      </c>
      <c r="Q43">
        <v>-5180</v>
      </c>
      <c r="R43">
        <v>515</v>
      </c>
      <c r="S43">
        <v>1039.875</v>
      </c>
      <c r="T43">
        <v>794.71299999999997</v>
      </c>
    </row>
    <row r="44" spans="1:20" x14ac:dyDescent="0.25">
      <c r="A44" t="s">
        <v>20</v>
      </c>
      <c r="B44">
        <v>42609</v>
      </c>
      <c r="C44" s="1">
        <v>45107</v>
      </c>
      <c r="D44">
        <v>2429315</v>
      </c>
      <c r="E44">
        <v>6121</v>
      </c>
      <c r="F44">
        <v>27433</v>
      </c>
      <c r="G44">
        <v>1035798</v>
      </c>
      <c r="H44">
        <v>1633</v>
      </c>
      <c r="I44">
        <v>-9360</v>
      </c>
      <c r="J44">
        <v>252543</v>
      </c>
      <c r="K44">
        <v>4678</v>
      </c>
      <c r="L44">
        <v>-1373</v>
      </c>
      <c r="M44">
        <v>303464</v>
      </c>
      <c r="N44">
        <v>819</v>
      </c>
      <c r="O44">
        <v>-2935</v>
      </c>
      <c r="P44">
        <v>837510</v>
      </c>
      <c r="Q44">
        <v>-1009</v>
      </c>
      <c r="R44">
        <v>41101</v>
      </c>
      <c r="S44">
        <v>1035.798</v>
      </c>
      <c r="T44">
        <v>837.51</v>
      </c>
    </row>
    <row r="45" spans="1:20" x14ac:dyDescent="0.25">
      <c r="A45" t="s">
        <v>20</v>
      </c>
      <c r="B45">
        <v>42609</v>
      </c>
      <c r="C45" s="1">
        <v>45138</v>
      </c>
      <c r="D45">
        <v>2449127</v>
      </c>
      <c r="E45">
        <v>-5068</v>
      </c>
      <c r="F45">
        <v>23752</v>
      </c>
      <c r="G45">
        <v>1036094</v>
      </c>
      <c r="H45">
        <v>3633</v>
      </c>
      <c r="I45">
        <v>-5099</v>
      </c>
      <c r="J45">
        <v>253346</v>
      </c>
      <c r="K45">
        <v>977</v>
      </c>
      <c r="L45">
        <v>-779</v>
      </c>
      <c r="M45">
        <v>305263</v>
      </c>
      <c r="N45">
        <v>-385</v>
      </c>
      <c r="O45">
        <v>1695</v>
      </c>
      <c r="P45">
        <v>854424</v>
      </c>
      <c r="Q45">
        <v>-9293</v>
      </c>
      <c r="R45">
        <v>27935</v>
      </c>
      <c r="S45">
        <v>1036.0940000000001</v>
      </c>
      <c r="T45">
        <v>854.42399999999998</v>
      </c>
    </row>
    <row r="46" spans="1:20" x14ac:dyDescent="0.25">
      <c r="A46" t="s">
        <v>20</v>
      </c>
      <c r="B46">
        <v>42609</v>
      </c>
      <c r="C46" s="1">
        <v>45169</v>
      </c>
      <c r="D46">
        <v>2435922</v>
      </c>
      <c r="E46">
        <v>10754</v>
      </c>
      <c r="F46">
        <v>-24612</v>
      </c>
      <c r="G46">
        <v>1031066</v>
      </c>
      <c r="H46">
        <v>796</v>
      </c>
      <c r="I46">
        <v>-4803</v>
      </c>
      <c r="J46">
        <v>252394</v>
      </c>
      <c r="K46">
        <v>1626</v>
      </c>
      <c r="L46">
        <v>-2255</v>
      </c>
      <c r="M46">
        <v>314117</v>
      </c>
      <c r="N46">
        <v>11066</v>
      </c>
      <c r="O46">
        <v>-2233</v>
      </c>
      <c r="P46">
        <v>838345</v>
      </c>
      <c r="Q46">
        <v>-2734</v>
      </c>
      <c r="R46">
        <v>-15321</v>
      </c>
      <c r="S46">
        <v>1031.066</v>
      </c>
      <c r="T46">
        <v>838.34500000000003</v>
      </c>
    </row>
    <row r="47" spans="1:20" x14ac:dyDescent="0.25">
      <c r="A47" t="s">
        <v>20</v>
      </c>
      <c r="B47">
        <v>42609</v>
      </c>
      <c r="C47" s="1">
        <v>45199</v>
      </c>
      <c r="D47">
        <v>2365952</v>
      </c>
      <c r="E47">
        <v>-889</v>
      </c>
      <c r="F47">
        <v>-66546</v>
      </c>
      <c r="G47">
        <v>999496</v>
      </c>
      <c r="H47">
        <v>-13479</v>
      </c>
      <c r="I47">
        <v>-18699</v>
      </c>
      <c r="J47">
        <v>252484</v>
      </c>
      <c r="K47">
        <v>7330</v>
      </c>
      <c r="L47">
        <v>-7327</v>
      </c>
      <c r="M47">
        <v>307378</v>
      </c>
      <c r="N47">
        <v>2612</v>
      </c>
      <c r="O47">
        <v>-7304</v>
      </c>
      <c r="P47">
        <v>806594</v>
      </c>
      <c r="Q47">
        <v>2648</v>
      </c>
      <c r="R47">
        <v>-33216</v>
      </c>
      <c r="S47">
        <v>999.49599999999998</v>
      </c>
      <c r="T47">
        <v>806.59400000000005</v>
      </c>
    </row>
    <row r="48" spans="1:20" x14ac:dyDescent="0.25">
      <c r="A48" t="s">
        <v>20</v>
      </c>
      <c r="B48">
        <v>42609</v>
      </c>
      <c r="C48" s="1">
        <v>45230</v>
      </c>
      <c r="D48">
        <v>2343270</v>
      </c>
      <c r="E48">
        <v>15478</v>
      </c>
      <c r="F48">
        <v>-35509</v>
      </c>
      <c r="G48">
        <v>1015409</v>
      </c>
      <c r="H48">
        <v>26423</v>
      </c>
      <c r="I48">
        <v>-10223</v>
      </c>
      <c r="J48">
        <v>239320</v>
      </c>
      <c r="K48">
        <v>-8413</v>
      </c>
      <c r="L48">
        <v>-4653</v>
      </c>
      <c r="M48">
        <v>297971</v>
      </c>
      <c r="N48">
        <v>-3954</v>
      </c>
      <c r="O48">
        <v>-4227</v>
      </c>
      <c r="P48">
        <v>790570</v>
      </c>
      <c r="Q48">
        <v>1422</v>
      </c>
      <c r="R48">
        <v>-16406</v>
      </c>
      <c r="S48">
        <v>1015.409</v>
      </c>
      <c r="T48">
        <v>790.57</v>
      </c>
    </row>
    <row r="49" spans="1:20" x14ac:dyDescent="0.25">
      <c r="A49" t="s">
        <v>20</v>
      </c>
      <c r="B49">
        <v>42609</v>
      </c>
      <c r="C49" s="1">
        <v>45260</v>
      </c>
      <c r="D49">
        <v>2453909</v>
      </c>
      <c r="E49">
        <v>-1342</v>
      </c>
      <c r="F49">
        <v>116304</v>
      </c>
      <c r="G49">
        <v>1042037</v>
      </c>
      <c r="H49">
        <v>-72</v>
      </c>
      <c r="I49">
        <v>31522</v>
      </c>
      <c r="J49">
        <v>251227</v>
      </c>
      <c r="K49">
        <v>1762</v>
      </c>
      <c r="L49">
        <v>10010</v>
      </c>
      <c r="M49">
        <v>310213</v>
      </c>
      <c r="N49">
        <v>456</v>
      </c>
      <c r="O49">
        <v>12259</v>
      </c>
      <c r="P49">
        <v>850432</v>
      </c>
      <c r="Q49">
        <v>-3488</v>
      </c>
      <c r="R49">
        <v>62513</v>
      </c>
      <c r="S49">
        <v>1042.037</v>
      </c>
      <c r="T49">
        <v>850.43200000000002</v>
      </c>
    </row>
    <row r="50" spans="1:20" x14ac:dyDescent="0.25">
      <c r="A50" t="s">
        <v>20</v>
      </c>
      <c r="B50">
        <v>42609</v>
      </c>
      <c r="C50" s="1">
        <v>45291</v>
      </c>
      <c r="D50">
        <v>2479621</v>
      </c>
      <c r="E50">
        <v>-21925</v>
      </c>
      <c r="F50">
        <v>78289</v>
      </c>
      <c r="G50">
        <v>1029295</v>
      </c>
      <c r="H50">
        <v>-20070</v>
      </c>
      <c r="I50">
        <v>26322</v>
      </c>
      <c r="J50">
        <v>257988</v>
      </c>
      <c r="K50">
        <v>2707</v>
      </c>
      <c r="L50">
        <v>5640</v>
      </c>
      <c r="M50">
        <v>308930</v>
      </c>
      <c r="N50">
        <v>3176</v>
      </c>
      <c r="O50">
        <v>6836</v>
      </c>
      <c r="P50">
        <v>883408</v>
      </c>
      <c r="Q50">
        <v>-7738</v>
      </c>
      <c r="R50">
        <v>39491</v>
      </c>
      <c r="S50">
        <v>1029.2950000000001</v>
      </c>
      <c r="T50">
        <v>883.40800000000002</v>
      </c>
    </row>
    <row r="51" spans="1:20" x14ac:dyDescent="0.25">
      <c r="A51" t="s">
        <v>20</v>
      </c>
      <c r="B51">
        <v>42609</v>
      </c>
      <c r="C51" s="1">
        <v>45322</v>
      </c>
      <c r="D51">
        <v>2512128</v>
      </c>
      <c r="E51">
        <v>11194</v>
      </c>
      <c r="F51">
        <v>33496</v>
      </c>
      <c r="G51">
        <v>1051432</v>
      </c>
      <c r="H51">
        <v>20322</v>
      </c>
      <c r="I51">
        <v>8114</v>
      </c>
      <c r="J51">
        <v>254127</v>
      </c>
      <c r="K51">
        <v>-2247</v>
      </c>
      <c r="L51">
        <v>-1031</v>
      </c>
      <c r="M51">
        <v>304564</v>
      </c>
      <c r="N51">
        <v>-2287</v>
      </c>
      <c r="O51">
        <v>-723</v>
      </c>
      <c r="P51">
        <v>902005</v>
      </c>
      <c r="Q51">
        <v>-4594</v>
      </c>
      <c r="R51">
        <v>27136</v>
      </c>
      <c r="S51">
        <v>1051.432</v>
      </c>
      <c r="T51">
        <v>902.005</v>
      </c>
    </row>
    <row r="52" spans="1:20" x14ac:dyDescent="0.25">
      <c r="A52" t="s">
        <v>20</v>
      </c>
      <c r="B52">
        <v>42609</v>
      </c>
      <c r="C52" s="1">
        <v>45351</v>
      </c>
      <c r="D52">
        <v>2537915</v>
      </c>
      <c r="E52">
        <v>13021</v>
      </c>
      <c r="F52">
        <v>14863</v>
      </c>
      <c r="G52">
        <v>1050448</v>
      </c>
      <c r="H52">
        <v>18907</v>
      </c>
      <c r="I52">
        <v>-17577</v>
      </c>
      <c r="J52">
        <v>251298</v>
      </c>
      <c r="K52">
        <v>-2958</v>
      </c>
      <c r="L52">
        <v>435</v>
      </c>
      <c r="M52">
        <v>299990</v>
      </c>
      <c r="N52">
        <v>-520</v>
      </c>
      <c r="O52">
        <v>-2415</v>
      </c>
      <c r="P52">
        <v>936179</v>
      </c>
      <c r="Q52">
        <v>-2408</v>
      </c>
      <c r="R52">
        <v>34420</v>
      </c>
      <c r="S52">
        <v>1050.4480000000001</v>
      </c>
      <c r="T52">
        <v>936.17899999999997</v>
      </c>
    </row>
    <row r="53" spans="1:20" x14ac:dyDescent="0.25">
      <c r="A53" t="s">
        <v>20</v>
      </c>
      <c r="B53">
        <v>42609</v>
      </c>
      <c r="C53" s="1">
        <v>45382</v>
      </c>
      <c r="D53">
        <v>2570622</v>
      </c>
      <c r="E53">
        <v>-120</v>
      </c>
      <c r="F53">
        <v>27228</v>
      </c>
      <c r="G53">
        <v>1068657</v>
      </c>
      <c r="H53">
        <v>13051</v>
      </c>
      <c r="I53">
        <v>2334</v>
      </c>
      <c r="J53">
        <v>247048</v>
      </c>
      <c r="K53">
        <v>-5512</v>
      </c>
      <c r="L53">
        <v>562</v>
      </c>
      <c r="M53">
        <v>301220</v>
      </c>
      <c r="N53">
        <v>628</v>
      </c>
      <c r="O53">
        <v>632</v>
      </c>
      <c r="P53">
        <v>953697</v>
      </c>
      <c r="Q53">
        <v>-8287</v>
      </c>
      <c r="R53">
        <v>23700</v>
      </c>
      <c r="S53">
        <v>1068.6569999999999</v>
      </c>
      <c r="T53">
        <v>953.697</v>
      </c>
    </row>
    <row r="54" spans="1:20" x14ac:dyDescent="0.25">
      <c r="A54" t="s">
        <v>20</v>
      </c>
      <c r="B54">
        <v>42609</v>
      </c>
      <c r="C54" s="1">
        <v>45412</v>
      </c>
      <c r="D54">
        <v>2488032</v>
      </c>
      <c r="E54">
        <v>-6926</v>
      </c>
      <c r="F54">
        <v>-78873</v>
      </c>
      <c r="G54">
        <v>1039812</v>
      </c>
      <c r="H54">
        <v>246</v>
      </c>
      <c r="I54">
        <v>-29824</v>
      </c>
      <c r="J54">
        <v>239604</v>
      </c>
      <c r="K54">
        <v>-1462</v>
      </c>
      <c r="L54">
        <v>-6007</v>
      </c>
      <c r="M54">
        <v>294615</v>
      </c>
      <c r="N54">
        <v>21</v>
      </c>
      <c r="O54">
        <v>-7730</v>
      </c>
      <c r="P54">
        <v>914001</v>
      </c>
      <c r="Q54">
        <v>-5731</v>
      </c>
      <c r="R54">
        <v>-35312</v>
      </c>
      <c r="S54">
        <v>1039.8119999999999</v>
      </c>
      <c r="T54">
        <v>914.00099999999998</v>
      </c>
    </row>
    <row r="55" spans="1:20" x14ac:dyDescent="0.25">
      <c r="A55" t="s">
        <v>20</v>
      </c>
      <c r="B55">
        <v>42609</v>
      </c>
      <c r="C55" s="1">
        <v>45443</v>
      </c>
      <c r="D55">
        <v>2531786</v>
      </c>
      <c r="E55">
        <v>-10959</v>
      </c>
      <c r="F55">
        <v>58275</v>
      </c>
      <c r="G55">
        <v>1043712</v>
      </c>
      <c r="H55">
        <v>171</v>
      </c>
      <c r="I55">
        <v>7252</v>
      </c>
      <c r="J55">
        <v>238411</v>
      </c>
      <c r="K55">
        <v>-2364</v>
      </c>
      <c r="L55">
        <v>1291</v>
      </c>
      <c r="M55">
        <v>300048</v>
      </c>
      <c r="N55">
        <v>-247</v>
      </c>
      <c r="O55">
        <v>5027</v>
      </c>
      <c r="P55">
        <v>949615</v>
      </c>
      <c r="Q55">
        <v>-8519</v>
      </c>
      <c r="R55">
        <v>44705</v>
      </c>
      <c r="S55">
        <v>1043.712</v>
      </c>
      <c r="T55">
        <v>949.61500000000001</v>
      </c>
    </row>
    <row r="56" spans="1:20" x14ac:dyDescent="0.25">
      <c r="A56" t="s">
        <v>20</v>
      </c>
      <c r="B56">
        <v>42609</v>
      </c>
      <c r="C56" s="1">
        <v>45473</v>
      </c>
      <c r="D56">
        <v>2524821</v>
      </c>
      <c r="E56">
        <v>-48431</v>
      </c>
      <c r="F56">
        <v>37212</v>
      </c>
      <c r="G56">
        <v>1017208</v>
      </c>
      <c r="H56">
        <v>-36608</v>
      </c>
      <c r="I56">
        <v>13367</v>
      </c>
      <c r="J56">
        <v>245479</v>
      </c>
      <c r="K56">
        <v>308</v>
      </c>
      <c r="L56">
        <v>4083</v>
      </c>
      <c r="M56">
        <v>290738</v>
      </c>
      <c r="N56">
        <v>-3281</v>
      </c>
      <c r="O56">
        <v>-1208</v>
      </c>
      <c r="P56">
        <v>971396</v>
      </c>
      <c r="Q56">
        <v>-8850</v>
      </c>
      <c r="R56">
        <v>20970</v>
      </c>
      <c r="S56">
        <v>1017.208</v>
      </c>
      <c r="T56">
        <v>971.39599999999996</v>
      </c>
    </row>
    <row r="57" spans="1:20" x14ac:dyDescent="0.25">
      <c r="A57" t="s">
        <v>20</v>
      </c>
      <c r="B57">
        <v>42609</v>
      </c>
      <c r="C57" s="1">
        <v>45504</v>
      </c>
      <c r="D57">
        <v>2552955</v>
      </c>
      <c r="E57">
        <v>-15112</v>
      </c>
      <c r="F57">
        <v>45156</v>
      </c>
      <c r="G57">
        <v>1022332</v>
      </c>
      <c r="H57">
        <v>-10903</v>
      </c>
      <c r="I57">
        <v>17215</v>
      </c>
      <c r="J57">
        <v>254348</v>
      </c>
      <c r="K57">
        <v>1490</v>
      </c>
      <c r="L57">
        <v>8537</v>
      </c>
      <c r="M57">
        <v>291881</v>
      </c>
      <c r="N57">
        <v>-2500</v>
      </c>
      <c r="O57">
        <v>4467</v>
      </c>
      <c r="P57">
        <v>984394</v>
      </c>
      <c r="Q57">
        <v>-3199</v>
      </c>
      <c r="R57">
        <v>14937</v>
      </c>
      <c r="S57">
        <v>1022.332</v>
      </c>
      <c r="T57">
        <v>984.39400000000001</v>
      </c>
    </row>
    <row r="58" spans="1:20" x14ac:dyDescent="0.25">
      <c r="A58" t="s">
        <v>20</v>
      </c>
      <c r="B58">
        <v>42609</v>
      </c>
      <c r="C58" s="1">
        <v>45535</v>
      </c>
      <c r="D58">
        <v>2592349</v>
      </c>
      <c r="E58">
        <v>-1326</v>
      </c>
      <c r="F58">
        <v>38508</v>
      </c>
      <c r="G58">
        <v>1015666</v>
      </c>
      <c r="H58">
        <v>-22321</v>
      </c>
      <c r="I58">
        <v>14537</v>
      </c>
      <c r="J58">
        <v>260455</v>
      </c>
      <c r="K58">
        <v>9195</v>
      </c>
      <c r="L58">
        <v>-2896</v>
      </c>
      <c r="M58">
        <v>301346</v>
      </c>
      <c r="N58">
        <v>5298</v>
      </c>
      <c r="O58">
        <v>3306</v>
      </c>
      <c r="P58">
        <v>1014882</v>
      </c>
      <c r="Q58">
        <v>6502</v>
      </c>
      <c r="R58">
        <v>23561</v>
      </c>
      <c r="S58">
        <v>1015.6660000000001</v>
      </c>
      <c r="T58">
        <v>1014.8819999999999</v>
      </c>
    </row>
    <row r="59" spans="1:20" x14ac:dyDescent="0.25">
      <c r="A59" t="s">
        <v>20</v>
      </c>
      <c r="B59">
        <v>42609</v>
      </c>
      <c r="C59" s="1">
        <v>45565</v>
      </c>
      <c r="D59">
        <v>2607543</v>
      </c>
      <c r="E59">
        <v>-16313</v>
      </c>
      <c r="F59">
        <v>29457</v>
      </c>
      <c r="G59">
        <v>992874</v>
      </c>
      <c r="H59">
        <v>-29136</v>
      </c>
      <c r="I59">
        <v>3617</v>
      </c>
      <c r="J59">
        <v>269427</v>
      </c>
      <c r="K59">
        <v>7099</v>
      </c>
      <c r="L59">
        <v>1586</v>
      </c>
      <c r="M59">
        <v>307973</v>
      </c>
      <c r="N59">
        <v>2704</v>
      </c>
      <c r="O59">
        <v>3869</v>
      </c>
      <c r="P59">
        <v>1037269</v>
      </c>
      <c r="Q59">
        <v>3020</v>
      </c>
      <c r="R59">
        <v>20385</v>
      </c>
      <c r="S59">
        <v>992.87400000000002</v>
      </c>
      <c r="T59">
        <v>1037.269</v>
      </c>
    </row>
    <row r="60" spans="1:20" x14ac:dyDescent="0.25">
      <c r="A60" t="s">
        <v>20</v>
      </c>
      <c r="B60">
        <v>42609</v>
      </c>
      <c r="C60" s="1">
        <v>45596</v>
      </c>
      <c r="D60">
        <v>2615102</v>
      </c>
      <c r="E60">
        <v>49297</v>
      </c>
      <c r="F60">
        <v>-33373</v>
      </c>
      <c r="G60">
        <v>998239</v>
      </c>
      <c r="H60">
        <v>31277</v>
      </c>
      <c r="I60">
        <v>-17507</v>
      </c>
      <c r="J60">
        <v>268389</v>
      </c>
      <c r="K60">
        <v>6384</v>
      </c>
      <c r="L60">
        <v>-7416</v>
      </c>
      <c r="M60">
        <v>310121</v>
      </c>
      <c r="N60">
        <v>11076</v>
      </c>
      <c r="O60">
        <v>-7908</v>
      </c>
      <c r="P60">
        <v>1038353</v>
      </c>
      <c r="Q60">
        <v>560</v>
      </c>
      <c r="R60">
        <v>-542</v>
      </c>
      <c r="S60">
        <v>998.23900000000003</v>
      </c>
      <c r="T60">
        <v>1038.3530000000001</v>
      </c>
    </row>
    <row r="61" spans="1:20" x14ac:dyDescent="0.25">
      <c r="A61" t="s">
        <v>20</v>
      </c>
      <c r="B61">
        <v>42609</v>
      </c>
      <c r="C61" s="1">
        <v>45626</v>
      </c>
      <c r="D61">
        <v>2644004</v>
      </c>
      <c r="E61">
        <v>-34042</v>
      </c>
      <c r="F61">
        <v>72118</v>
      </c>
      <c r="G61">
        <v>980050</v>
      </c>
      <c r="H61">
        <v>-19727</v>
      </c>
      <c r="I61">
        <v>9317</v>
      </c>
      <c r="J61">
        <v>260959</v>
      </c>
      <c r="K61">
        <v>-7553</v>
      </c>
      <c r="L61">
        <v>1856</v>
      </c>
      <c r="M61">
        <v>308447</v>
      </c>
      <c r="N61">
        <v>-802</v>
      </c>
      <c r="O61">
        <v>-938</v>
      </c>
      <c r="P61">
        <v>1094548</v>
      </c>
      <c r="Q61">
        <v>-5960</v>
      </c>
      <c r="R61">
        <v>61883</v>
      </c>
      <c r="S61">
        <v>980.05</v>
      </c>
      <c r="T61">
        <v>1094.548</v>
      </c>
    </row>
    <row r="62" spans="1:20" x14ac:dyDescent="0.25">
      <c r="A62" t="s">
        <v>20</v>
      </c>
      <c r="B62">
        <v>42609</v>
      </c>
      <c r="C62" s="1">
        <v>45657</v>
      </c>
      <c r="D62">
        <v>2577997</v>
      </c>
      <c r="E62">
        <v>-9078</v>
      </c>
      <c r="F62">
        <v>-48163</v>
      </c>
      <c r="G62">
        <v>952667</v>
      </c>
      <c r="H62">
        <v>-10233</v>
      </c>
      <c r="I62">
        <v>-15150</v>
      </c>
      <c r="J62">
        <v>257571</v>
      </c>
      <c r="K62">
        <v>281</v>
      </c>
      <c r="L62">
        <v>-3625</v>
      </c>
      <c r="M62">
        <v>306187</v>
      </c>
      <c r="N62">
        <v>3041</v>
      </c>
      <c r="O62">
        <v>-3858</v>
      </c>
      <c r="P62">
        <v>1061572</v>
      </c>
      <c r="Q62">
        <v>-2167</v>
      </c>
      <c r="R62">
        <v>-25530</v>
      </c>
      <c r="S62">
        <v>952.66700000000003</v>
      </c>
      <c r="T62">
        <v>1061.5719999999999</v>
      </c>
    </row>
    <row r="63" spans="1:20" x14ac:dyDescent="0.25">
      <c r="A63" t="s">
        <v>20</v>
      </c>
      <c r="B63">
        <v>42609</v>
      </c>
      <c r="C63" s="1">
        <v>45688</v>
      </c>
      <c r="D63">
        <v>2633749</v>
      </c>
      <c r="E63">
        <v>10785</v>
      </c>
      <c r="F63">
        <v>38143</v>
      </c>
      <c r="G63">
        <v>961412</v>
      </c>
      <c r="H63">
        <v>4034</v>
      </c>
      <c r="I63">
        <v>-1335</v>
      </c>
      <c r="J63">
        <v>263013</v>
      </c>
      <c r="K63">
        <v>2686</v>
      </c>
      <c r="L63">
        <v>2255</v>
      </c>
      <c r="M63">
        <v>307460</v>
      </c>
      <c r="N63">
        <v>609</v>
      </c>
      <c r="O63">
        <v>675</v>
      </c>
      <c r="P63">
        <v>1101864</v>
      </c>
      <c r="Q63">
        <v>3456</v>
      </c>
      <c r="R63">
        <v>36548</v>
      </c>
      <c r="S63">
        <v>961.41200000000003</v>
      </c>
      <c r="T63">
        <v>1101.864</v>
      </c>
    </row>
    <row r="64" spans="1:20" x14ac:dyDescent="0.25">
      <c r="A64" t="s">
        <v>20</v>
      </c>
      <c r="B64">
        <v>42609</v>
      </c>
      <c r="C64" s="1">
        <v>45716</v>
      </c>
      <c r="D64">
        <v>2666749</v>
      </c>
      <c r="E64">
        <v>24896</v>
      </c>
      <c r="F64">
        <v>10494</v>
      </c>
      <c r="G64">
        <v>1008024</v>
      </c>
      <c r="H64">
        <v>31719</v>
      </c>
      <c r="I64">
        <v>19391</v>
      </c>
      <c r="J64">
        <v>270836</v>
      </c>
      <c r="K64">
        <v>2998</v>
      </c>
      <c r="L64">
        <v>4318</v>
      </c>
      <c r="M64">
        <v>313460</v>
      </c>
      <c r="N64">
        <v>790</v>
      </c>
      <c r="O64">
        <v>4397</v>
      </c>
      <c r="P64">
        <v>1074429</v>
      </c>
      <c r="Q64">
        <v>-10611</v>
      </c>
      <c r="R64">
        <v>-17612</v>
      </c>
      <c r="S64">
        <v>1008.024</v>
      </c>
      <c r="T64">
        <v>1074.4290000000001</v>
      </c>
    </row>
    <row r="65" spans="1:20" x14ac:dyDescent="0.25">
      <c r="A65" t="s">
        <v>20</v>
      </c>
      <c r="B65">
        <v>42609</v>
      </c>
      <c r="C65" s="1">
        <v>45747</v>
      </c>
      <c r="D65">
        <v>2621076</v>
      </c>
      <c r="E65">
        <v>21190</v>
      </c>
      <c r="F65">
        <v>-68079</v>
      </c>
      <c r="G65">
        <v>1011650</v>
      </c>
      <c r="H65">
        <v>3246</v>
      </c>
      <c r="I65">
        <v>-1493</v>
      </c>
      <c r="J65">
        <v>265327</v>
      </c>
      <c r="K65">
        <v>-3832</v>
      </c>
      <c r="L65">
        <v>-1582</v>
      </c>
      <c r="M65">
        <v>313570</v>
      </c>
      <c r="N65">
        <v>3714</v>
      </c>
      <c r="O65">
        <v>-1973</v>
      </c>
      <c r="P65">
        <v>1030529</v>
      </c>
      <c r="Q65">
        <v>18062</v>
      </c>
      <c r="R65">
        <v>-63031</v>
      </c>
      <c r="S65">
        <v>1011.65</v>
      </c>
      <c r="T65">
        <v>1030.529</v>
      </c>
    </row>
    <row r="66" spans="1:20" x14ac:dyDescent="0.25">
      <c r="A66" t="s">
        <v>20</v>
      </c>
      <c r="B66">
        <v>42609</v>
      </c>
      <c r="C66" s="1">
        <v>45777</v>
      </c>
      <c r="D66">
        <v>2623584</v>
      </c>
      <c r="E66">
        <v>2539</v>
      </c>
      <c r="F66">
        <v>-1967</v>
      </c>
      <c r="G66">
        <v>1016551</v>
      </c>
      <c r="H66">
        <v>-2927</v>
      </c>
      <c r="I66">
        <v>4603</v>
      </c>
      <c r="J66">
        <v>250695</v>
      </c>
      <c r="K66">
        <v>-12576</v>
      </c>
      <c r="L66">
        <v>391</v>
      </c>
      <c r="M66">
        <v>314616</v>
      </c>
      <c r="N66">
        <v>743</v>
      </c>
      <c r="O66">
        <v>-293</v>
      </c>
      <c r="P66">
        <v>1041722</v>
      </c>
      <c r="Q66">
        <v>17299</v>
      </c>
      <c r="R66">
        <v>-6668</v>
      </c>
      <c r="S66">
        <v>1016.551</v>
      </c>
      <c r="T66">
        <v>1041.722</v>
      </c>
    </row>
    <row r="67" spans="1:20" x14ac:dyDescent="0.25">
      <c r="A67" t="s">
        <v>20</v>
      </c>
      <c r="B67">
        <v>42609</v>
      </c>
      <c r="C67" s="1">
        <v>45808</v>
      </c>
      <c r="D67">
        <v>2702614</v>
      </c>
      <c r="E67">
        <v>26194</v>
      </c>
      <c r="F67">
        <v>54844</v>
      </c>
      <c r="G67">
        <v>1019175</v>
      </c>
      <c r="H67">
        <v>13116</v>
      </c>
      <c r="I67">
        <v>-7994</v>
      </c>
      <c r="J67">
        <v>252163</v>
      </c>
      <c r="K67">
        <v>3170</v>
      </c>
      <c r="L67">
        <v>-2499</v>
      </c>
      <c r="M67">
        <v>315079</v>
      </c>
      <c r="N67">
        <v>2287</v>
      </c>
      <c r="O67">
        <v>-1661</v>
      </c>
      <c r="P67">
        <v>1116197</v>
      </c>
      <c r="Q67">
        <v>7621</v>
      </c>
      <c r="R67">
        <v>66998</v>
      </c>
      <c r="S67">
        <v>1019.175</v>
      </c>
      <c r="T67">
        <v>1116.1969999999999</v>
      </c>
    </row>
    <row r="68" spans="1:20" x14ac:dyDescent="0.25">
      <c r="A68" t="s">
        <v>20</v>
      </c>
      <c r="B68">
        <v>42609</v>
      </c>
      <c r="C68" s="1">
        <v>45838</v>
      </c>
      <c r="D68">
        <v>2762244</v>
      </c>
      <c r="E68">
        <v>-6867</v>
      </c>
      <c r="F68">
        <v>73116</v>
      </c>
      <c r="G68">
        <v>1024309</v>
      </c>
      <c r="H68">
        <v>-3605</v>
      </c>
      <c r="I68">
        <v>13338</v>
      </c>
      <c r="J68">
        <v>254227</v>
      </c>
      <c r="K68">
        <v>-1275</v>
      </c>
      <c r="L68">
        <v>2814</v>
      </c>
      <c r="M68">
        <v>317380</v>
      </c>
      <c r="N68">
        <v>247</v>
      </c>
      <c r="O68">
        <v>4141</v>
      </c>
      <c r="P68">
        <v>1166328</v>
      </c>
      <c r="Q68">
        <v>-2234</v>
      </c>
      <c r="R68">
        <v>52823</v>
      </c>
      <c r="S68">
        <v>1024.309</v>
      </c>
      <c r="T68">
        <v>1166.328</v>
      </c>
    </row>
    <row r="69" spans="1:20" x14ac:dyDescent="0.25">
      <c r="A69" t="s">
        <v>20</v>
      </c>
      <c r="B69">
        <v>42609</v>
      </c>
      <c r="C69" s="1">
        <v>45869</v>
      </c>
      <c r="D69">
        <v>2771609</v>
      </c>
      <c r="E69">
        <v>-7343</v>
      </c>
      <c r="F69">
        <v>15031</v>
      </c>
      <c r="G69">
        <v>1022688</v>
      </c>
      <c r="H69">
        <v>4053</v>
      </c>
      <c r="I69">
        <v>-5908</v>
      </c>
      <c r="J69">
        <v>256039</v>
      </c>
      <c r="K69">
        <v>2462</v>
      </c>
      <c r="L69">
        <v>-1678</v>
      </c>
      <c r="M69">
        <v>317883</v>
      </c>
      <c r="N69">
        <v>1292</v>
      </c>
      <c r="O69">
        <v>-1023</v>
      </c>
      <c r="P69">
        <v>1174999</v>
      </c>
      <c r="Q69">
        <v>-15150</v>
      </c>
      <c r="R69">
        <v>23640</v>
      </c>
      <c r="S69">
        <v>1022.688</v>
      </c>
      <c r="T69">
        <v>1174.999</v>
      </c>
    </row>
    <row r="70" spans="1:20" x14ac:dyDescent="0.25">
      <c r="A70" t="s">
        <v>20</v>
      </c>
      <c r="B70">
        <v>42609</v>
      </c>
      <c r="C70" s="1">
        <v>45900</v>
      </c>
      <c r="D70">
        <v>2848476</v>
      </c>
      <c r="E70">
        <v>37232</v>
      </c>
      <c r="F70">
        <v>34918</v>
      </c>
      <c r="G70">
        <v>1048614</v>
      </c>
      <c r="H70">
        <v>15365</v>
      </c>
      <c r="I70">
        <v>6805</v>
      </c>
      <c r="J70">
        <v>270895</v>
      </c>
      <c r="K70">
        <v>11222</v>
      </c>
      <c r="L70">
        <v>2574</v>
      </c>
      <c r="M70">
        <v>322584</v>
      </c>
      <c r="N70">
        <v>2554</v>
      </c>
      <c r="O70">
        <v>2391</v>
      </c>
      <c r="P70">
        <v>1206383</v>
      </c>
      <c r="Q70">
        <v>8091</v>
      </c>
      <c r="R70">
        <v>23148</v>
      </c>
      <c r="S70">
        <v>1048.614</v>
      </c>
      <c r="T70">
        <v>1206.383</v>
      </c>
    </row>
    <row r="71" spans="1:20" x14ac:dyDescent="0.25">
      <c r="A71" t="s">
        <v>20</v>
      </c>
      <c r="B71">
        <v>42609</v>
      </c>
      <c r="C71" s="1">
        <v>45930</v>
      </c>
      <c r="D71">
        <v>2910698</v>
      </c>
      <c r="E71">
        <v>14013</v>
      </c>
      <c r="F71">
        <v>53265</v>
      </c>
      <c r="G71">
        <v>1056106</v>
      </c>
      <c r="H71">
        <v>5618</v>
      </c>
      <c r="I71">
        <v>5065</v>
      </c>
      <c r="J71">
        <v>276549</v>
      </c>
      <c r="K71">
        <v>4971</v>
      </c>
      <c r="L71">
        <v>1564</v>
      </c>
      <c r="M71">
        <v>327472</v>
      </c>
      <c r="N71">
        <v>1686</v>
      </c>
      <c r="O71">
        <v>2287</v>
      </c>
      <c r="P71">
        <v>1250571</v>
      </c>
      <c r="Q71">
        <v>1738</v>
      </c>
      <c r="R71">
        <v>44349</v>
      </c>
      <c r="S71">
        <v>1056.106</v>
      </c>
      <c r="T71">
        <v>1250.5709999999999</v>
      </c>
    </row>
    <row r="72" spans="1:20" x14ac:dyDescent="0.25">
      <c r="A72" t="s">
        <v>20</v>
      </c>
      <c r="B72">
        <v>42609</v>
      </c>
      <c r="C72" s="1">
        <v>45961</v>
      </c>
      <c r="D72">
        <v>2941615</v>
      </c>
      <c r="E72">
        <v>-2684</v>
      </c>
      <c r="F72">
        <v>31373</v>
      </c>
      <c r="G72">
        <v>1064907</v>
      </c>
      <c r="H72">
        <v>6746</v>
      </c>
      <c r="I72">
        <v>560</v>
      </c>
      <c r="J72">
        <v>280375</v>
      </c>
      <c r="K72">
        <v>2974</v>
      </c>
      <c r="L72">
        <v>371</v>
      </c>
      <c r="M72">
        <v>326700</v>
      </c>
      <c r="N72">
        <v>-1095</v>
      </c>
      <c r="O72">
        <v>-130</v>
      </c>
      <c r="P72">
        <v>1269633</v>
      </c>
      <c r="Q72">
        <v>-11309</v>
      </c>
      <c r="R72">
        <v>30572</v>
      </c>
      <c r="S72">
        <v>1064.9069999999999</v>
      </c>
      <c r="T72">
        <v>1269.633</v>
      </c>
    </row>
    <row r="73" spans="1:20" x14ac:dyDescent="0.25">
      <c r="A73" t="s">
        <v>20</v>
      </c>
      <c r="B73">
        <v>42609</v>
      </c>
      <c r="C73" s="1">
        <v>45991</v>
      </c>
      <c r="D73">
        <v>2940243</v>
      </c>
      <c r="E73">
        <v>-7706</v>
      </c>
      <c r="F73">
        <v>-284</v>
      </c>
      <c r="G73">
        <v>1069309</v>
      </c>
      <c r="H73">
        <v>-1454</v>
      </c>
      <c r="I73">
        <v>3732</v>
      </c>
      <c r="J73">
        <v>282149</v>
      </c>
      <c r="K73">
        <v>-2538</v>
      </c>
      <c r="L73">
        <v>3785</v>
      </c>
      <c r="M73">
        <v>325578</v>
      </c>
      <c r="N73">
        <v>655</v>
      </c>
      <c r="O73">
        <v>-2855</v>
      </c>
      <c r="P73">
        <v>1263207</v>
      </c>
      <c r="Q73">
        <v>-4369</v>
      </c>
      <c r="R73">
        <v>-4946</v>
      </c>
      <c r="S73">
        <v>1069.309</v>
      </c>
      <c r="T73">
        <v>1263.2070000000001</v>
      </c>
    </row>
  </sheetData>
  <autoFilter ref="A2:T2" xr:uid="{00000000-0001-0000-0000-000000000000}">
    <sortState xmlns:xlrd2="http://schemas.microsoft.com/office/spreadsheetml/2017/richdata2" ref="A3:T73">
      <sortCondition ref="C2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F451-BFB5-487D-8C51-3E9279D083D0}">
  <dimension ref="B1:L72"/>
  <sheetViews>
    <sheetView tabSelected="1" workbookViewId="0">
      <pane xSplit="2" ySplit="1" topLeftCell="C53" activePane="bottomRight" state="frozen"/>
      <selection pane="topRight" activeCell="C1" sqref="C1"/>
      <selection pane="bottomLeft" activeCell="A2" sqref="A2"/>
      <selection pane="bottomRight" activeCell="M72" sqref="M72"/>
    </sheetView>
  </sheetViews>
  <sheetFormatPr defaultRowHeight="15" x14ac:dyDescent="0.25"/>
  <cols>
    <col min="2" max="2" width="10.7109375" bestFit="1" customWidth="1"/>
    <col min="8" max="8" width="10.7109375" style="3" bestFit="1" customWidth="1"/>
    <col min="9" max="11" width="9.140625" style="3"/>
    <col min="12" max="12" width="13.28515625" style="3" bestFit="1" customWidth="1"/>
  </cols>
  <sheetData>
    <row r="1" spans="2:12" x14ac:dyDescent="0.25">
      <c r="C1" t="str">
        <f>data!G1</f>
        <v>Holdings</v>
      </c>
      <c r="D1" t="str">
        <f>data!H1</f>
        <v>nel sales</v>
      </c>
      <c r="E1" t="str">
        <f>data!I1</f>
        <v>valuation changes</v>
      </c>
      <c r="F1" t="s">
        <v>24</v>
      </c>
      <c r="G1" t="s">
        <v>25</v>
      </c>
      <c r="I1" s="3" t="s">
        <v>24</v>
      </c>
      <c r="J1" s="3" t="s">
        <v>22</v>
      </c>
      <c r="K1" s="3" t="s">
        <v>23</v>
      </c>
      <c r="L1" s="3" t="s">
        <v>26</v>
      </c>
    </row>
    <row r="2" spans="2:12" x14ac:dyDescent="0.25">
      <c r="B2" s="2">
        <f>data!C3</f>
        <v>43861</v>
      </c>
      <c r="C2">
        <f>data!G3</f>
        <v>1147586</v>
      </c>
      <c r="H2" s="4">
        <f>B2</f>
        <v>43861</v>
      </c>
      <c r="L2" s="5">
        <f>C2</f>
        <v>1147586</v>
      </c>
    </row>
    <row r="3" spans="2:12" x14ac:dyDescent="0.25">
      <c r="B3" s="2">
        <f>data!C4</f>
        <v>43890</v>
      </c>
      <c r="C3">
        <f>data!G4</f>
        <v>1202367</v>
      </c>
      <c r="F3">
        <f>C3-C2</f>
        <v>54781</v>
      </c>
      <c r="H3" s="4">
        <f t="shared" ref="H3:H66" si="0">B3</f>
        <v>43890</v>
      </c>
      <c r="L3" s="5">
        <f t="shared" ref="L3:L66" si="1">C3</f>
        <v>1202367</v>
      </c>
    </row>
    <row r="4" spans="2:12" x14ac:dyDescent="0.25">
      <c r="B4" s="2">
        <f>data!C5</f>
        <v>43921</v>
      </c>
      <c r="C4">
        <f>data!G5</f>
        <v>1211747</v>
      </c>
      <c r="F4">
        <f t="shared" ref="F4:F67" si="2">C4-C3</f>
        <v>9380</v>
      </c>
      <c r="H4" s="4">
        <f t="shared" si="0"/>
        <v>43921</v>
      </c>
      <c r="L4" s="5">
        <f t="shared" si="1"/>
        <v>1211747</v>
      </c>
    </row>
    <row r="5" spans="2:12" x14ac:dyDescent="0.25">
      <c r="B5" s="2">
        <f>data!C6</f>
        <v>43951</v>
      </c>
      <c r="C5">
        <f>data!G6</f>
        <v>1202355</v>
      </c>
      <c r="F5">
        <f t="shared" si="2"/>
        <v>-9392</v>
      </c>
      <c r="H5" s="4">
        <f t="shared" si="0"/>
        <v>43951</v>
      </c>
      <c r="L5" s="5">
        <f t="shared" si="1"/>
        <v>1202355</v>
      </c>
    </row>
    <row r="6" spans="2:12" x14ac:dyDescent="0.25">
      <c r="B6" s="2">
        <f>data!C7</f>
        <v>43982</v>
      </c>
      <c r="C6">
        <f>data!G7</f>
        <v>1193317</v>
      </c>
      <c r="F6">
        <f t="shared" si="2"/>
        <v>-9038</v>
      </c>
      <c r="H6" s="4">
        <f t="shared" si="0"/>
        <v>43982</v>
      </c>
      <c r="L6" s="5">
        <f t="shared" si="1"/>
        <v>1193317</v>
      </c>
    </row>
    <row r="7" spans="2:12" x14ac:dyDescent="0.25">
      <c r="B7" s="2">
        <f>data!C8</f>
        <v>44012</v>
      </c>
      <c r="C7">
        <f>data!G8</f>
        <v>1194934</v>
      </c>
      <c r="F7">
        <f t="shared" si="2"/>
        <v>1617</v>
      </c>
      <c r="H7" s="4">
        <f t="shared" si="0"/>
        <v>44012</v>
      </c>
      <c r="L7" s="5">
        <f t="shared" si="1"/>
        <v>1194934</v>
      </c>
    </row>
    <row r="8" spans="2:12" x14ac:dyDescent="0.25">
      <c r="B8" s="2">
        <f>data!C9</f>
        <v>44043</v>
      </c>
      <c r="C8">
        <f>data!G9</f>
        <v>1225897</v>
      </c>
      <c r="F8">
        <f t="shared" si="2"/>
        <v>30963</v>
      </c>
      <c r="H8" s="4">
        <f t="shared" si="0"/>
        <v>44043</v>
      </c>
      <c r="L8" s="5">
        <f t="shared" si="1"/>
        <v>1225897</v>
      </c>
    </row>
    <row r="9" spans="2:12" x14ac:dyDescent="0.25">
      <c r="B9" s="2">
        <f>data!C10</f>
        <v>44074</v>
      </c>
      <c r="C9">
        <f>data!G10</f>
        <v>1210275</v>
      </c>
      <c r="F9">
        <f t="shared" si="2"/>
        <v>-15622</v>
      </c>
      <c r="H9" s="4">
        <f t="shared" si="0"/>
        <v>44074</v>
      </c>
      <c r="L9" s="5">
        <f t="shared" si="1"/>
        <v>1210275</v>
      </c>
    </row>
    <row r="10" spans="2:12" x14ac:dyDescent="0.25">
      <c r="B10" s="2">
        <f>data!C11</f>
        <v>44104</v>
      </c>
      <c r="C10">
        <f>data!G11</f>
        <v>1208762</v>
      </c>
      <c r="F10">
        <f t="shared" si="2"/>
        <v>-1513</v>
      </c>
      <c r="H10" s="4">
        <f t="shared" si="0"/>
        <v>44104</v>
      </c>
      <c r="L10" s="5">
        <f t="shared" si="1"/>
        <v>1208762</v>
      </c>
    </row>
    <row r="11" spans="2:12" x14ac:dyDescent="0.25">
      <c r="B11" s="2">
        <f>data!C12</f>
        <v>44135</v>
      </c>
      <c r="C11">
        <f>data!G12</f>
        <v>1205240</v>
      </c>
      <c r="F11">
        <f t="shared" si="2"/>
        <v>-3522</v>
      </c>
      <c r="H11" s="4">
        <f t="shared" si="0"/>
        <v>44135</v>
      </c>
      <c r="L11" s="5">
        <f t="shared" si="1"/>
        <v>1205240</v>
      </c>
    </row>
    <row r="12" spans="2:12" x14ac:dyDescent="0.25">
      <c r="B12" s="2">
        <f>data!C13</f>
        <v>44165</v>
      </c>
      <c r="C12">
        <f>data!G13</f>
        <v>1193190</v>
      </c>
      <c r="F12">
        <f t="shared" si="2"/>
        <v>-12050</v>
      </c>
      <c r="H12" s="4">
        <f t="shared" si="0"/>
        <v>44165</v>
      </c>
      <c r="L12" s="5">
        <f t="shared" si="1"/>
        <v>1193190</v>
      </c>
    </row>
    <row r="13" spans="2:12" x14ac:dyDescent="0.25">
      <c r="B13" s="2">
        <f>data!C14</f>
        <v>44196</v>
      </c>
      <c r="C13">
        <f>data!G14</f>
        <v>1184556</v>
      </c>
      <c r="F13">
        <f t="shared" si="2"/>
        <v>-8634</v>
      </c>
      <c r="H13" s="4">
        <f t="shared" si="0"/>
        <v>44196</v>
      </c>
      <c r="L13" s="5">
        <f t="shared" si="1"/>
        <v>1184556</v>
      </c>
    </row>
    <row r="14" spans="2:12" x14ac:dyDescent="0.25">
      <c r="B14" s="2">
        <f>data!C15</f>
        <v>44227</v>
      </c>
      <c r="C14">
        <f>data!G15</f>
        <v>1210028</v>
      </c>
      <c r="F14">
        <f t="shared" si="2"/>
        <v>25472</v>
      </c>
      <c r="H14" s="4">
        <f t="shared" si="0"/>
        <v>44227</v>
      </c>
      <c r="I14" s="3">
        <f>C14-C2</f>
        <v>62442</v>
      </c>
      <c r="L14" s="5">
        <f t="shared" si="1"/>
        <v>1210028</v>
      </c>
    </row>
    <row r="15" spans="2:12" x14ac:dyDescent="0.25">
      <c r="B15" s="2">
        <f>data!C16</f>
        <v>44255</v>
      </c>
      <c r="C15">
        <f>data!G16</f>
        <v>1187707</v>
      </c>
      <c r="F15">
        <f t="shared" si="2"/>
        <v>-22321</v>
      </c>
      <c r="H15" s="4">
        <f t="shared" si="0"/>
        <v>44255</v>
      </c>
      <c r="I15" s="3">
        <f t="shared" ref="I15:I72" si="3">C15-C3</f>
        <v>-14660</v>
      </c>
      <c r="L15" s="5">
        <f t="shared" si="1"/>
        <v>1187707</v>
      </c>
    </row>
    <row r="16" spans="2:12" x14ac:dyDescent="0.25">
      <c r="B16" s="2">
        <f>data!C17</f>
        <v>44286</v>
      </c>
      <c r="C16">
        <f>data!G17</f>
        <v>1174075</v>
      </c>
      <c r="F16">
        <f t="shared" si="2"/>
        <v>-13632</v>
      </c>
      <c r="H16" s="4">
        <f t="shared" si="0"/>
        <v>44286</v>
      </c>
      <c r="I16" s="3">
        <f t="shared" si="3"/>
        <v>-37672</v>
      </c>
      <c r="L16" s="5">
        <f t="shared" si="1"/>
        <v>1174075</v>
      </c>
    </row>
    <row r="17" spans="2:12" x14ac:dyDescent="0.25">
      <c r="B17" s="2">
        <f>data!C18</f>
        <v>44316</v>
      </c>
      <c r="C17">
        <f>data!G18</f>
        <v>1211116</v>
      </c>
      <c r="F17">
        <f t="shared" si="2"/>
        <v>37041</v>
      </c>
      <c r="H17" s="4">
        <f t="shared" si="0"/>
        <v>44316</v>
      </c>
      <c r="I17" s="3">
        <f t="shared" si="3"/>
        <v>8761</v>
      </c>
      <c r="L17" s="5">
        <f t="shared" si="1"/>
        <v>1211116</v>
      </c>
    </row>
    <row r="18" spans="2:12" x14ac:dyDescent="0.25">
      <c r="B18" s="2">
        <f>data!C19</f>
        <v>44347</v>
      </c>
      <c r="C18">
        <f>data!G19</f>
        <v>1200461</v>
      </c>
      <c r="F18">
        <f t="shared" si="2"/>
        <v>-10655</v>
      </c>
      <c r="H18" s="4">
        <f t="shared" si="0"/>
        <v>44347</v>
      </c>
      <c r="I18" s="3">
        <f t="shared" si="3"/>
        <v>7144</v>
      </c>
      <c r="L18" s="5">
        <f t="shared" si="1"/>
        <v>1200461</v>
      </c>
    </row>
    <row r="19" spans="2:12" x14ac:dyDescent="0.25">
      <c r="B19" s="2">
        <f>data!C20</f>
        <v>44377</v>
      </c>
      <c r="C19">
        <f>data!G20</f>
        <v>1214367</v>
      </c>
      <c r="F19">
        <f t="shared" si="2"/>
        <v>13906</v>
      </c>
      <c r="H19" s="4">
        <f t="shared" si="0"/>
        <v>44377</v>
      </c>
      <c r="I19" s="3">
        <f t="shared" si="3"/>
        <v>19433</v>
      </c>
      <c r="L19" s="5">
        <f t="shared" si="1"/>
        <v>1214367</v>
      </c>
    </row>
    <row r="20" spans="2:12" x14ac:dyDescent="0.25">
      <c r="B20" s="2">
        <f>data!C21</f>
        <v>44408</v>
      </c>
      <c r="C20">
        <f>data!G21</f>
        <v>1245237</v>
      </c>
      <c r="F20">
        <f t="shared" si="2"/>
        <v>30870</v>
      </c>
      <c r="H20" s="4">
        <f t="shared" si="0"/>
        <v>44408</v>
      </c>
      <c r="I20" s="3">
        <f t="shared" si="3"/>
        <v>19340</v>
      </c>
      <c r="L20" s="5">
        <f t="shared" si="1"/>
        <v>1245237</v>
      </c>
    </row>
    <row r="21" spans="2:12" x14ac:dyDescent="0.25">
      <c r="B21" s="2">
        <f>data!C22</f>
        <v>44439</v>
      </c>
      <c r="C21">
        <f>data!G22</f>
        <v>1251375</v>
      </c>
      <c r="F21">
        <f t="shared" si="2"/>
        <v>6138</v>
      </c>
      <c r="H21" s="4">
        <f t="shared" si="0"/>
        <v>44439</v>
      </c>
      <c r="I21" s="3">
        <f t="shared" si="3"/>
        <v>41100</v>
      </c>
      <c r="L21" s="5">
        <f t="shared" si="1"/>
        <v>1251375</v>
      </c>
    </row>
    <row r="22" spans="2:12" x14ac:dyDescent="0.25">
      <c r="B22" s="2">
        <f>data!C23</f>
        <v>44469</v>
      </c>
      <c r="C22">
        <f>data!G23</f>
        <v>1233622</v>
      </c>
      <c r="F22">
        <f t="shared" si="2"/>
        <v>-17753</v>
      </c>
      <c r="H22" s="4">
        <f t="shared" si="0"/>
        <v>44469</v>
      </c>
      <c r="I22" s="3">
        <f t="shared" si="3"/>
        <v>24860</v>
      </c>
      <c r="L22" s="5">
        <f t="shared" si="1"/>
        <v>1233622</v>
      </c>
    </row>
    <row r="23" spans="2:12" x14ac:dyDescent="0.25">
      <c r="B23" s="2">
        <f>data!C24</f>
        <v>44500</v>
      </c>
      <c r="C23">
        <f>data!G24</f>
        <v>1243981</v>
      </c>
      <c r="F23">
        <f t="shared" si="2"/>
        <v>10359</v>
      </c>
      <c r="H23" s="4">
        <f t="shared" si="0"/>
        <v>44500</v>
      </c>
      <c r="I23" s="3">
        <f t="shared" si="3"/>
        <v>38741</v>
      </c>
      <c r="L23" s="5">
        <f t="shared" si="1"/>
        <v>1243981</v>
      </c>
    </row>
    <row r="24" spans="2:12" x14ac:dyDescent="0.25">
      <c r="B24" s="2">
        <f>data!C25</f>
        <v>44530</v>
      </c>
      <c r="C24">
        <f>data!G25</f>
        <v>1244343</v>
      </c>
      <c r="F24">
        <f t="shared" si="2"/>
        <v>362</v>
      </c>
      <c r="H24" s="4">
        <f t="shared" si="0"/>
        <v>44530</v>
      </c>
      <c r="I24" s="3">
        <f t="shared" si="3"/>
        <v>51153</v>
      </c>
      <c r="L24" s="5">
        <f t="shared" si="1"/>
        <v>1244343</v>
      </c>
    </row>
    <row r="25" spans="2:12" x14ac:dyDescent="0.25">
      <c r="B25" s="2">
        <f>data!C26</f>
        <v>44561</v>
      </c>
      <c r="C25">
        <f>data!G26</f>
        <v>1214078</v>
      </c>
      <c r="F25">
        <f t="shared" si="2"/>
        <v>-30265</v>
      </c>
      <c r="H25" s="4">
        <f t="shared" si="0"/>
        <v>44561</v>
      </c>
      <c r="I25" s="3">
        <f t="shared" si="3"/>
        <v>29522</v>
      </c>
      <c r="L25" s="5">
        <f t="shared" si="1"/>
        <v>1214078</v>
      </c>
    </row>
    <row r="26" spans="2:12" x14ac:dyDescent="0.25">
      <c r="B26" s="2">
        <f>data!C27</f>
        <v>44592</v>
      </c>
      <c r="C26">
        <f>data!G27</f>
        <v>1214887</v>
      </c>
      <c r="F26">
        <f t="shared" si="2"/>
        <v>809</v>
      </c>
      <c r="H26" s="4">
        <f t="shared" si="0"/>
        <v>44592</v>
      </c>
      <c r="I26" s="3">
        <f t="shared" si="3"/>
        <v>4859</v>
      </c>
      <c r="L26" s="5">
        <f t="shared" si="1"/>
        <v>1214887</v>
      </c>
    </row>
    <row r="27" spans="2:12" x14ac:dyDescent="0.25">
      <c r="B27" s="2">
        <f>data!C28</f>
        <v>44620</v>
      </c>
      <c r="C27">
        <f>data!G28</f>
        <v>1224788</v>
      </c>
      <c r="F27">
        <f t="shared" si="2"/>
        <v>9901</v>
      </c>
      <c r="H27" s="4">
        <f t="shared" si="0"/>
        <v>44620</v>
      </c>
      <c r="I27" s="3">
        <f t="shared" si="3"/>
        <v>37081</v>
      </c>
      <c r="L27" s="5">
        <f t="shared" si="1"/>
        <v>1224788</v>
      </c>
    </row>
    <row r="28" spans="2:12" x14ac:dyDescent="0.25">
      <c r="B28" s="2">
        <f>data!C29</f>
        <v>44651</v>
      </c>
      <c r="C28">
        <f>data!G29</f>
        <v>1145920</v>
      </c>
      <c r="F28">
        <f t="shared" si="2"/>
        <v>-78868</v>
      </c>
      <c r="H28" s="4">
        <f t="shared" si="0"/>
        <v>44651</v>
      </c>
      <c r="I28" s="3">
        <f t="shared" si="3"/>
        <v>-28155</v>
      </c>
      <c r="L28" s="5">
        <f t="shared" si="1"/>
        <v>1145920</v>
      </c>
    </row>
    <row r="29" spans="2:12" x14ac:dyDescent="0.25">
      <c r="B29" s="2">
        <f>data!C30</f>
        <v>44681</v>
      </c>
      <c r="C29">
        <f>data!G30</f>
        <v>1131164</v>
      </c>
      <c r="F29">
        <f t="shared" si="2"/>
        <v>-14756</v>
      </c>
      <c r="H29" s="4">
        <f t="shared" si="0"/>
        <v>44681</v>
      </c>
      <c r="I29" s="3">
        <f t="shared" si="3"/>
        <v>-79952</v>
      </c>
      <c r="L29" s="5">
        <f t="shared" si="1"/>
        <v>1131164</v>
      </c>
    </row>
    <row r="30" spans="2:12" x14ac:dyDescent="0.25">
      <c r="B30" s="2">
        <f>data!C31</f>
        <v>44712</v>
      </c>
      <c r="C30">
        <f>data!G31</f>
        <v>1146663</v>
      </c>
      <c r="F30">
        <f t="shared" si="2"/>
        <v>15499</v>
      </c>
      <c r="H30" s="4">
        <f t="shared" si="0"/>
        <v>44712</v>
      </c>
      <c r="I30" s="3">
        <f t="shared" si="3"/>
        <v>-53798</v>
      </c>
      <c r="L30" s="5">
        <f t="shared" si="1"/>
        <v>1146663</v>
      </c>
    </row>
    <row r="31" spans="2:12" x14ac:dyDescent="0.25">
      <c r="B31" s="2">
        <f>data!C32</f>
        <v>44742</v>
      </c>
      <c r="C31">
        <f>data!G32</f>
        <v>1161020</v>
      </c>
      <c r="F31">
        <f t="shared" si="2"/>
        <v>14357</v>
      </c>
      <c r="H31" s="4">
        <f t="shared" si="0"/>
        <v>44742</v>
      </c>
      <c r="I31" s="3">
        <f t="shared" si="3"/>
        <v>-53347</v>
      </c>
      <c r="L31" s="5">
        <f t="shared" si="1"/>
        <v>1161020</v>
      </c>
    </row>
    <row r="32" spans="2:12" x14ac:dyDescent="0.25">
      <c r="B32" s="2">
        <f>data!C33</f>
        <v>44773</v>
      </c>
      <c r="C32">
        <f>data!G33</f>
        <v>1152325</v>
      </c>
      <c r="F32">
        <f t="shared" si="2"/>
        <v>-8695</v>
      </c>
      <c r="H32" s="4">
        <f t="shared" si="0"/>
        <v>44773</v>
      </c>
      <c r="I32" s="3">
        <f t="shared" si="3"/>
        <v>-92912</v>
      </c>
      <c r="L32" s="5">
        <f t="shared" si="1"/>
        <v>1152325</v>
      </c>
    </row>
    <row r="33" spans="2:12" x14ac:dyDescent="0.25">
      <c r="B33" s="2">
        <f>data!C34</f>
        <v>44804</v>
      </c>
      <c r="C33">
        <f>data!G34</f>
        <v>1118333</v>
      </c>
      <c r="F33">
        <f t="shared" si="2"/>
        <v>-33992</v>
      </c>
      <c r="H33" s="4">
        <f t="shared" si="0"/>
        <v>44804</v>
      </c>
      <c r="I33" s="3">
        <f t="shared" si="3"/>
        <v>-133042</v>
      </c>
      <c r="L33" s="5">
        <f t="shared" si="1"/>
        <v>1118333</v>
      </c>
    </row>
    <row r="34" spans="2:12" x14ac:dyDescent="0.25">
      <c r="B34" s="2">
        <f>data!C35</f>
        <v>44834</v>
      </c>
      <c r="C34">
        <f>data!G35</f>
        <v>1037209</v>
      </c>
      <c r="F34">
        <f t="shared" si="2"/>
        <v>-81124</v>
      </c>
      <c r="H34" s="4">
        <f t="shared" si="0"/>
        <v>44834</v>
      </c>
      <c r="I34" s="3">
        <f t="shared" si="3"/>
        <v>-196413</v>
      </c>
      <c r="L34" s="5">
        <f t="shared" si="1"/>
        <v>1037209</v>
      </c>
    </row>
    <row r="35" spans="2:12" x14ac:dyDescent="0.25">
      <c r="B35" s="2">
        <f>data!C36</f>
        <v>44865</v>
      </c>
      <c r="C35">
        <f>data!G36</f>
        <v>1008054</v>
      </c>
      <c r="F35">
        <f t="shared" si="2"/>
        <v>-29155</v>
      </c>
      <c r="H35" s="4">
        <f t="shared" si="0"/>
        <v>44865</v>
      </c>
      <c r="I35" s="3">
        <f t="shared" si="3"/>
        <v>-235927</v>
      </c>
      <c r="L35" s="5">
        <f t="shared" si="1"/>
        <v>1008054</v>
      </c>
    </row>
    <row r="36" spans="2:12" x14ac:dyDescent="0.25">
      <c r="B36" s="2">
        <f>data!C37</f>
        <v>44895</v>
      </c>
      <c r="C36">
        <f>data!G37</f>
        <v>1018640</v>
      </c>
      <c r="F36">
        <f t="shared" si="2"/>
        <v>10586</v>
      </c>
      <c r="H36" s="4">
        <f t="shared" si="0"/>
        <v>44895</v>
      </c>
      <c r="I36" s="3">
        <f t="shared" si="3"/>
        <v>-225703</v>
      </c>
      <c r="L36" s="5">
        <f t="shared" si="1"/>
        <v>1018640</v>
      </c>
    </row>
    <row r="37" spans="2:12" x14ac:dyDescent="0.25">
      <c r="B37" s="2">
        <f>data!C38</f>
        <v>44926</v>
      </c>
      <c r="C37">
        <f>data!G38</f>
        <v>994871</v>
      </c>
      <c r="F37">
        <f t="shared" si="2"/>
        <v>-23769</v>
      </c>
      <c r="H37" s="4">
        <f t="shared" si="0"/>
        <v>44926</v>
      </c>
      <c r="I37" s="3">
        <f t="shared" si="3"/>
        <v>-219207</v>
      </c>
      <c r="L37" s="5">
        <f t="shared" si="1"/>
        <v>994871</v>
      </c>
    </row>
    <row r="38" spans="2:12" x14ac:dyDescent="0.25">
      <c r="B38" s="2">
        <f>data!C39</f>
        <v>44957</v>
      </c>
      <c r="C38">
        <f>data!G39</f>
        <v>1029966</v>
      </c>
      <c r="F38">
        <f t="shared" si="2"/>
        <v>35095</v>
      </c>
      <c r="H38" s="4">
        <f t="shared" si="0"/>
        <v>44957</v>
      </c>
      <c r="I38" s="3">
        <f t="shared" si="3"/>
        <v>-184921</v>
      </c>
      <c r="L38" s="5">
        <f t="shared" si="1"/>
        <v>1029966</v>
      </c>
    </row>
    <row r="39" spans="2:12" x14ac:dyDescent="0.25">
      <c r="B39" s="2">
        <f>data!C40</f>
        <v>44985</v>
      </c>
      <c r="C39">
        <f>data!G40</f>
        <v>1013830</v>
      </c>
      <c r="D39">
        <f>data!H40</f>
        <v>4458</v>
      </c>
      <c r="E39">
        <f>data!I40</f>
        <v>-15677</v>
      </c>
      <c r="F39">
        <f t="shared" si="2"/>
        <v>-16136</v>
      </c>
      <c r="G39">
        <f>D39+E39</f>
        <v>-11219</v>
      </c>
      <c r="H39" s="4">
        <f t="shared" si="0"/>
        <v>44985</v>
      </c>
      <c r="I39" s="3">
        <f t="shared" si="3"/>
        <v>-210958</v>
      </c>
      <c r="L39" s="5">
        <f t="shared" si="1"/>
        <v>1013830</v>
      </c>
    </row>
    <row r="40" spans="2:12" x14ac:dyDescent="0.25">
      <c r="B40" s="2">
        <f>data!C41</f>
        <v>45016</v>
      </c>
      <c r="C40">
        <f>data!G41</f>
        <v>1021979</v>
      </c>
      <c r="D40">
        <f>data!H41</f>
        <v>-16470</v>
      </c>
      <c r="E40">
        <f>data!I41</f>
        <v>21569</v>
      </c>
      <c r="F40">
        <f t="shared" si="2"/>
        <v>8149</v>
      </c>
      <c r="G40">
        <f t="shared" ref="G40:G72" si="4">D40+E40</f>
        <v>5099</v>
      </c>
      <c r="H40" s="4">
        <f t="shared" si="0"/>
        <v>45016</v>
      </c>
      <c r="I40" s="3">
        <f t="shared" si="3"/>
        <v>-123941</v>
      </c>
      <c r="L40" s="5">
        <f t="shared" si="1"/>
        <v>1021979</v>
      </c>
    </row>
    <row r="41" spans="2:12" x14ac:dyDescent="0.25">
      <c r="B41" s="2">
        <f>data!C42</f>
        <v>45046</v>
      </c>
      <c r="C41">
        <f>data!G42</f>
        <v>1062312</v>
      </c>
      <c r="D41">
        <f>data!H42</f>
        <v>35588</v>
      </c>
      <c r="E41">
        <f>data!I42</f>
        <v>4354</v>
      </c>
      <c r="F41">
        <f t="shared" si="2"/>
        <v>40333</v>
      </c>
      <c r="G41">
        <f t="shared" si="4"/>
        <v>39942</v>
      </c>
      <c r="H41" s="4">
        <f t="shared" si="0"/>
        <v>45046</v>
      </c>
      <c r="I41" s="3">
        <f t="shared" si="3"/>
        <v>-68852</v>
      </c>
      <c r="L41" s="5">
        <f t="shared" si="1"/>
        <v>1062312</v>
      </c>
    </row>
    <row r="42" spans="2:12" x14ac:dyDescent="0.25">
      <c r="B42" s="2">
        <f>data!C43</f>
        <v>45077</v>
      </c>
      <c r="C42">
        <f>data!G43</f>
        <v>1039875</v>
      </c>
      <c r="D42">
        <f>data!H43</f>
        <v>-7992</v>
      </c>
      <c r="E42">
        <f>data!I43</f>
        <v>-13860</v>
      </c>
      <c r="F42">
        <f t="shared" si="2"/>
        <v>-22437</v>
      </c>
      <c r="G42">
        <f t="shared" si="4"/>
        <v>-21852</v>
      </c>
      <c r="H42" s="4">
        <f t="shared" si="0"/>
        <v>45077</v>
      </c>
      <c r="I42" s="3">
        <f t="shared" si="3"/>
        <v>-106788</v>
      </c>
      <c r="L42" s="5">
        <f t="shared" si="1"/>
        <v>1039875</v>
      </c>
    </row>
    <row r="43" spans="2:12" x14ac:dyDescent="0.25">
      <c r="B43" s="2">
        <f>data!C44</f>
        <v>45107</v>
      </c>
      <c r="C43">
        <f>data!G44</f>
        <v>1035798</v>
      </c>
      <c r="D43">
        <f>data!H44</f>
        <v>1633</v>
      </c>
      <c r="E43">
        <f>data!I44</f>
        <v>-9360</v>
      </c>
      <c r="F43">
        <f t="shared" si="2"/>
        <v>-4077</v>
      </c>
      <c r="G43">
        <f t="shared" si="4"/>
        <v>-7727</v>
      </c>
      <c r="H43" s="4">
        <f t="shared" si="0"/>
        <v>45107</v>
      </c>
      <c r="I43" s="3">
        <f t="shared" si="3"/>
        <v>-125222</v>
      </c>
      <c r="L43" s="5">
        <f t="shared" si="1"/>
        <v>1035798</v>
      </c>
    </row>
    <row r="44" spans="2:12" x14ac:dyDescent="0.25">
      <c r="B44" s="2">
        <f>data!C45</f>
        <v>45138</v>
      </c>
      <c r="C44">
        <f>data!G45</f>
        <v>1036094</v>
      </c>
      <c r="D44">
        <f>data!H45</f>
        <v>3633</v>
      </c>
      <c r="E44">
        <f>data!I45</f>
        <v>-5099</v>
      </c>
      <c r="F44">
        <f t="shared" si="2"/>
        <v>296</v>
      </c>
      <c r="G44">
        <f t="shared" si="4"/>
        <v>-1466</v>
      </c>
      <c r="H44" s="4">
        <f t="shared" si="0"/>
        <v>45138</v>
      </c>
      <c r="I44" s="3">
        <f t="shared" si="3"/>
        <v>-116231</v>
      </c>
      <c r="L44" s="5">
        <f t="shared" si="1"/>
        <v>1036094</v>
      </c>
    </row>
    <row r="45" spans="2:12" x14ac:dyDescent="0.25">
      <c r="B45" s="2">
        <f>data!C46</f>
        <v>45169</v>
      </c>
      <c r="C45">
        <f>data!G46</f>
        <v>1031066</v>
      </c>
      <c r="D45">
        <f>data!H46</f>
        <v>796</v>
      </c>
      <c r="E45">
        <f>data!I46</f>
        <v>-4803</v>
      </c>
      <c r="F45">
        <f t="shared" si="2"/>
        <v>-5028</v>
      </c>
      <c r="G45">
        <f t="shared" si="4"/>
        <v>-4007</v>
      </c>
      <c r="H45" s="4">
        <f t="shared" si="0"/>
        <v>45169</v>
      </c>
      <c r="I45" s="3">
        <f t="shared" si="3"/>
        <v>-87267</v>
      </c>
      <c r="L45" s="5">
        <f t="shared" si="1"/>
        <v>1031066</v>
      </c>
    </row>
    <row r="46" spans="2:12" x14ac:dyDescent="0.25">
      <c r="B46" s="2">
        <f>data!C47</f>
        <v>45199</v>
      </c>
      <c r="C46">
        <f>data!G47</f>
        <v>999496</v>
      </c>
      <c r="D46">
        <f>data!H47</f>
        <v>-13479</v>
      </c>
      <c r="E46">
        <f>data!I47</f>
        <v>-18699</v>
      </c>
      <c r="F46">
        <f t="shared" si="2"/>
        <v>-31570</v>
      </c>
      <c r="G46">
        <f t="shared" si="4"/>
        <v>-32178</v>
      </c>
      <c r="H46" s="4">
        <f t="shared" si="0"/>
        <v>45199</v>
      </c>
      <c r="I46" s="3">
        <f t="shared" si="3"/>
        <v>-37713</v>
      </c>
      <c r="L46" s="5">
        <f t="shared" si="1"/>
        <v>999496</v>
      </c>
    </row>
    <row r="47" spans="2:12" x14ac:dyDescent="0.25">
      <c r="B47" s="2">
        <f>data!C48</f>
        <v>45230</v>
      </c>
      <c r="C47">
        <f>data!G48</f>
        <v>1015409</v>
      </c>
      <c r="D47">
        <f>data!H48</f>
        <v>26423</v>
      </c>
      <c r="E47">
        <f>data!I48</f>
        <v>-10223</v>
      </c>
      <c r="F47">
        <f t="shared" si="2"/>
        <v>15913</v>
      </c>
      <c r="G47">
        <f t="shared" si="4"/>
        <v>16200</v>
      </c>
      <c r="H47" s="4">
        <f t="shared" si="0"/>
        <v>45230</v>
      </c>
      <c r="I47" s="3">
        <f t="shared" si="3"/>
        <v>7355</v>
      </c>
      <c r="L47" s="5">
        <f t="shared" si="1"/>
        <v>1015409</v>
      </c>
    </row>
    <row r="48" spans="2:12" x14ac:dyDescent="0.25">
      <c r="B48" s="2">
        <f>data!C49</f>
        <v>45260</v>
      </c>
      <c r="C48">
        <f>data!G49</f>
        <v>1042037</v>
      </c>
      <c r="D48">
        <f>data!H49</f>
        <v>-72</v>
      </c>
      <c r="E48">
        <f>data!I49</f>
        <v>31522</v>
      </c>
      <c r="F48">
        <f t="shared" si="2"/>
        <v>26628</v>
      </c>
      <c r="G48">
        <f t="shared" si="4"/>
        <v>31450</v>
      </c>
      <c r="H48" s="4">
        <f t="shared" si="0"/>
        <v>45260</v>
      </c>
      <c r="I48" s="3">
        <f t="shared" si="3"/>
        <v>23397</v>
      </c>
      <c r="L48" s="5">
        <f t="shared" si="1"/>
        <v>1042037</v>
      </c>
    </row>
    <row r="49" spans="2:12" x14ac:dyDescent="0.25">
      <c r="B49" s="2">
        <f>data!C50</f>
        <v>45291</v>
      </c>
      <c r="C49">
        <f>data!G50</f>
        <v>1029295</v>
      </c>
      <c r="D49">
        <f>data!H50</f>
        <v>-20070</v>
      </c>
      <c r="E49">
        <f>data!I50</f>
        <v>26322</v>
      </c>
      <c r="F49">
        <f t="shared" si="2"/>
        <v>-12742</v>
      </c>
      <c r="G49">
        <f t="shared" si="4"/>
        <v>6252</v>
      </c>
      <c r="H49" s="4">
        <f t="shared" si="0"/>
        <v>45291</v>
      </c>
      <c r="I49" s="3">
        <f t="shared" si="3"/>
        <v>34424</v>
      </c>
      <c r="L49" s="5">
        <f t="shared" si="1"/>
        <v>1029295</v>
      </c>
    </row>
    <row r="50" spans="2:12" x14ac:dyDescent="0.25">
      <c r="B50" s="2">
        <f>data!C51</f>
        <v>45322</v>
      </c>
      <c r="C50">
        <f>data!G51</f>
        <v>1051432</v>
      </c>
      <c r="D50">
        <f>data!H51</f>
        <v>20322</v>
      </c>
      <c r="E50">
        <f>data!I51</f>
        <v>8114</v>
      </c>
      <c r="F50">
        <f t="shared" si="2"/>
        <v>22137</v>
      </c>
      <c r="G50">
        <f t="shared" si="4"/>
        <v>28436</v>
      </c>
      <c r="H50" s="4">
        <f t="shared" si="0"/>
        <v>45322</v>
      </c>
      <c r="I50" s="3">
        <f t="shared" si="3"/>
        <v>21466</v>
      </c>
      <c r="J50" s="3">
        <f>SUM(D39:D50)</f>
        <v>34770</v>
      </c>
      <c r="K50" s="3">
        <f>SUM(E39:E50)</f>
        <v>14160</v>
      </c>
      <c r="L50" s="5">
        <f t="shared" si="1"/>
        <v>1051432</v>
      </c>
    </row>
    <row r="51" spans="2:12" x14ac:dyDescent="0.25">
      <c r="B51" s="2">
        <f>data!C52</f>
        <v>45351</v>
      </c>
      <c r="C51">
        <f>data!G52</f>
        <v>1050448</v>
      </c>
      <c r="D51">
        <f>data!H52</f>
        <v>18907</v>
      </c>
      <c r="E51">
        <f>data!I52</f>
        <v>-17577</v>
      </c>
      <c r="F51">
        <f t="shared" si="2"/>
        <v>-984</v>
      </c>
      <c r="G51">
        <f t="shared" si="4"/>
        <v>1330</v>
      </c>
      <c r="H51" s="4">
        <f t="shared" si="0"/>
        <v>45351</v>
      </c>
      <c r="I51" s="3">
        <f t="shared" si="3"/>
        <v>36618</v>
      </c>
      <c r="J51" s="3">
        <f t="shared" ref="J51:K51" si="5">SUM(D40:D51)</f>
        <v>49219</v>
      </c>
      <c r="K51" s="3">
        <f t="shared" si="5"/>
        <v>12260</v>
      </c>
      <c r="L51" s="5">
        <f t="shared" si="1"/>
        <v>1050448</v>
      </c>
    </row>
    <row r="52" spans="2:12" x14ac:dyDescent="0.25">
      <c r="B52" s="2">
        <f>data!C53</f>
        <v>45382</v>
      </c>
      <c r="C52">
        <f>data!G53</f>
        <v>1068657</v>
      </c>
      <c r="D52">
        <f>data!H53</f>
        <v>13051</v>
      </c>
      <c r="E52">
        <f>data!I53</f>
        <v>2334</v>
      </c>
      <c r="F52">
        <f t="shared" si="2"/>
        <v>18209</v>
      </c>
      <c r="G52">
        <f t="shared" si="4"/>
        <v>15385</v>
      </c>
      <c r="H52" s="4">
        <f t="shared" si="0"/>
        <v>45382</v>
      </c>
      <c r="I52" s="3">
        <f t="shared" si="3"/>
        <v>46678</v>
      </c>
      <c r="J52" s="3">
        <f t="shared" ref="J52:K52" si="6">SUM(D41:D52)</f>
        <v>78740</v>
      </c>
      <c r="K52" s="3">
        <f t="shared" si="6"/>
        <v>-6975</v>
      </c>
      <c r="L52" s="5">
        <f t="shared" si="1"/>
        <v>1068657</v>
      </c>
    </row>
    <row r="53" spans="2:12" x14ac:dyDescent="0.25">
      <c r="B53" s="2">
        <f>data!C54</f>
        <v>45412</v>
      </c>
      <c r="C53">
        <f>data!G54</f>
        <v>1039812</v>
      </c>
      <c r="D53">
        <f>data!H54</f>
        <v>246</v>
      </c>
      <c r="E53">
        <f>data!I54</f>
        <v>-29824</v>
      </c>
      <c r="F53">
        <f t="shared" si="2"/>
        <v>-28845</v>
      </c>
      <c r="G53">
        <f t="shared" si="4"/>
        <v>-29578</v>
      </c>
      <c r="H53" s="4">
        <f t="shared" si="0"/>
        <v>45412</v>
      </c>
      <c r="I53" s="3">
        <f t="shared" si="3"/>
        <v>-22500</v>
      </c>
      <c r="J53" s="3">
        <f t="shared" ref="J53:K53" si="7">SUM(D42:D53)</f>
        <v>43398</v>
      </c>
      <c r="K53" s="3">
        <f t="shared" si="7"/>
        <v>-41153</v>
      </c>
      <c r="L53" s="5">
        <f t="shared" si="1"/>
        <v>1039812</v>
      </c>
    </row>
    <row r="54" spans="2:12" x14ac:dyDescent="0.25">
      <c r="B54" s="2">
        <f>data!C55</f>
        <v>45443</v>
      </c>
      <c r="C54">
        <f>data!G55</f>
        <v>1043712</v>
      </c>
      <c r="D54">
        <f>data!H55</f>
        <v>171</v>
      </c>
      <c r="E54">
        <f>data!I55</f>
        <v>7252</v>
      </c>
      <c r="F54">
        <f t="shared" si="2"/>
        <v>3900</v>
      </c>
      <c r="G54">
        <f t="shared" si="4"/>
        <v>7423</v>
      </c>
      <c r="H54" s="4">
        <f t="shared" si="0"/>
        <v>45443</v>
      </c>
      <c r="I54" s="3">
        <f t="shared" si="3"/>
        <v>3837</v>
      </c>
      <c r="J54" s="3">
        <f t="shared" ref="J54:K54" si="8">SUM(D43:D54)</f>
        <v>51561</v>
      </c>
      <c r="K54" s="3">
        <f t="shared" si="8"/>
        <v>-20041</v>
      </c>
      <c r="L54" s="5">
        <f t="shared" si="1"/>
        <v>1043712</v>
      </c>
    </row>
    <row r="55" spans="2:12" x14ac:dyDescent="0.25">
      <c r="B55" s="2">
        <f>data!C56</f>
        <v>45473</v>
      </c>
      <c r="C55">
        <f>data!G56</f>
        <v>1017208</v>
      </c>
      <c r="D55">
        <f>data!H56</f>
        <v>-36608</v>
      </c>
      <c r="E55">
        <f>data!I56</f>
        <v>13367</v>
      </c>
      <c r="F55">
        <f t="shared" si="2"/>
        <v>-26504</v>
      </c>
      <c r="G55">
        <f t="shared" si="4"/>
        <v>-23241</v>
      </c>
      <c r="H55" s="4">
        <f t="shared" si="0"/>
        <v>45473</v>
      </c>
      <c r="I55" s="3">
        <f t="shared" si="3"/>
        <v>-18590</v>
      </c>
      <c r="J55" s="3">
        <f t="shared" ref="J55:K55" si="9">SUM(D44:D55)</f>
        <v>13320</v>
      </c>
      <c r="K55" s="3">
        <f t="shared" si="9"/>
        <v>2686</v>
      </c>
      <c r="L55" s="5">
        <f t="shared" si="1"/>
        <v>1017208</v>
      </c>
    </row>
    <row r="56" spans="2:12" x14ac:dyDescent="0.25">
      <c r="B56" s="2">
        <f>data!C57</f>
        <v>45504</v>
      </c>
      <c r="C56">
        <f>data!G57</f>
        <v>1022332</v>
      </c>
      <c r="D56">
        <f>data!H57</f>
        <v>-10903</v>
      </c>
      <c r="E56">
        <f>data!I57</f>
        <v>17215</v>
      </c>
      <c r="F56">
        <f t="shared" si="2"/>
        <v>5124</v>
      </c>
      <c r="G56">
        <f t="shared" si="4"/>
        <v>6312</v>
      </c>
      <c r="H56" s="4">
        <f t="shared" si="0"/>
        <v>45504</v>
      </c>
      <c r="I56" s="3">
        <f t="shared" si="3"/>
        <v>-13762</v>
      </c>
      <c r="J56" s="3">
        <f t="shared" ref="J56:K56" si="10">SUM(D45:D56)</f>
        <v>-1216</v>
      </c>
      <c r="K56" s="3">
        <f t="shared" si="10"/>
        <v>25000</v>
      </c>
      <c r="L56" s="5">
        <f t="shared" si="1"/>
        <v>1022332</v>
      </c>
    </row>
    <row r="57" spans="2:12" x14ac:dyDescent="0.25">
      <c r="B57" s="2">
        <f>data!C58</f>
        <v>45535</v>
      </c>
      <c r="C57">
        <f>data!G58</f>
        <v>1015666</v>
      </c>
      <c r="D57">
        <f>data!H58</f>
        <v>-22321</v>
      </c>
      <c r="E57">
        <f>data!I58</f>
        <v>14537</v>
      </c>
      <c r="F57">
        <f t="shared" si="2"/>
        <v>-6666</v>
      </c>
      <c r="G57">
        <f t="shared" si="4"/>
        <v>-7784</v>
      </c>
      <c r="H57" s="4">
        <f t="shared" si="0"/>
        <v>45535</v>
      </c>
      <c r="I57" s="3">
        <f t="shared" si="3"/>
        <v>-15400</v>
      </c>
      <c r="J57" s="3">
        <f t="shared" ref="J57:K57" si="11">SUM(D46:D57)</f>
        <v>-24333</v>
      </c>
      <c r="K57" s="3">
        <f t="shared" si="11"/>
        <v>44340</v>
      </c>
      <c r="L57" s="5">
        <f t="shared" si="1"/>
        <v>1015666</v>
      </c>
    </row>
    <row r="58" spans="2:12" x14ac:dyDescent="0.25">
      <c r="B58" s="2">
        <f>data!C59</f>
        <v>45565</v>
      </c>
      <c r="C58">
        <f>data!G59</f>
        <v>992874</v>
      </c>
      <c r="D58">
        <f>data!H59</f>
        <v>-29136</v>
      </c>
      <c r="E58">
        <f>data!I59</f>
        <v>3617</v>
      </c>
      <c r="F58">
        <f t="shared" si="2"/>
        <v>-22792</v>
      </c>
      <c r="G58">
        <f t="shared" si="4"/>
        <v>-25519</v>
      </c>
      <c r="H58" s="4">
        <f t="shared" si="0"/>
        <v>45565</v>
      </c>
      <c r="I58" s="3">
        <f t="shared" si="3"/>
        <v>-6622</v>
      </c>
      <c r="J58" s="3">
        <f t="shared" ref="J58:K58" si="12">SUM(D47:D58)</f>
        <v>-39990</v>
      </c>
      <c r="K58" s="3">
        <f t="shared" si="12"/>
        <v>66656</v>
      </c>
      <c r="L58" s="5">
        <f t="shared" si="1"/>
        <v>992874</v>
      </c>
    </row>
    <row r="59" spans="2:12" x14ac:dyDescent="0.25">
      <c r="B59" s="2">
        <f>data!C60</f>
        <v>45596</v>
      </c>
      <c r="C59">
        <f>data!G60</f>
        <v>998239</v>
      </c>
      <c r="D59">
        <f>data!H60</f>
        <v>31277</v>
      </c>
      <c r="E59">
        <f>data!I60</f>
        <v>-17507</v>
      </c>
      <c r="F59">
        <f t="shared" si="2"/>
        <v>5365</v>
      </c>
      <c r="G59">
        <f t="shared" si="4"/>
        <v>13770</v>
      </c>
      <c r="H59" s="4">
        <f t="shared" si="0"/>
        <v>45596</v>
      </c>
      <c r="I59" s="3">
        <f t="shared" si="3"/>
        <v>-17170</v>
      </c>
      <c r="J59" s="3">
        <f t="shared" ref="J59:K59" si="13">SUM(D48:D59)</f>
        <v>-35136</v>
      </c>
      <c r="K59" s="3">
        <f t="shared" si="13"/>
        <v>59372</v>
      </c>
      <c r="L59" s="5">
        <f t="shared" si="1"/>
        <v>998239</v>
      </c>
    </row>
    <row r="60" spans="2:12" x14ac:dyDescent="0.25">
      <c r="B60" s="2">
        <f>data!C61</f>
        <v>45626</v>
      </c>
      <c r="C60">
        <f>data!G61</f>
        <v>980050</v>
      </c>
      <c r="D60">
        <f>data!H61</f>
        <v>-19727</v>
      </c>
      <c r="E60">
        <f>data!I61</f>
        <v>9317</v>
      </c>
      <c r="F60">
        <f t="shared" si="2"/>
        <v>-18189</v>
      </c>
      <c r="G60">
        <f t="shared" si="4"/>
        <v>-10410</v>
      </c>
      <c r="H60" s="4">
        <f t="shared" si="0"/>
        <v>45626</v>
      </c>
      <c r="I60" s="3">
        <f t="shared" si="3"/>
        <v>-61987</v>
      </c>
      <c r="J60" s="3">
        <f t="shared" ref="J60:K60" si="14">SUM(D49:D60)</f>
        <v>-54791</v>
      </c>
      <c r="K60" s="3">
        <f t="shared" si="14"/>
        <v>37167</v>
      </c>
      <c r="L60" s="5">
        <f t="shared" si="1"/>
        <v>980050</v>
      </c>
    </row>
    <row r="61" spans="2:12" x14ac:dyDescent="0.25">
      <c r="B61" s="2">
        <f>data!C62</f>
        <v>45657</v>
      </c>
      <c r="C61">
        <f>data!G62</f>
        <v>952667</v>
      </c>
      <c r="D61">
        <f>data!H62</f>
        <v>-10233</v>
      </c>
      <c r="E61">
        <f>data!I62</f>
        <v>-15150</v>
      </c>
      <c r="F61">
        <f t="shared" si="2"/>
        <v>-27383</v>
      </c>
      <c r="G61">
        <f t="shared" si="4"/>
        <v>-25383</v>
      </c>
      <c r="H61" s="4">
        <f t="shared" si="0"/>
        <v>45657</v>
      </c>
      <c r="I61" s="3">
        <f t="shared" si="3"/>
        <v>-76628</v>
      </c>
      <c r="J61" s="3">
        <f t="shared" ref="J61:K61" si="15">SUM(D50:D61)</f>
        <v>-44954</v>
      </c>
      <c r="K61" s="3">
        <f t="shared" si="15"/>
        <v>-4305</v>
      </c>
      <c r="L61" s="5">
        <f t="shared" si="1"/>
        <v>952667</v>
      </c>
    </row>
    <row r="62" spans="2:12" x14ac:dyDescent="0.25">
      <c r="B62" s="2">
        <f>data!C63</f>
        <v>45688</v>
      </c>
      <c r="C62">
        <f>data!G63</f>
        <v>961412</v>
      </c>
      <c r="D62">
        <f>data!H63</f>
        <v>4034</v>
      </c>
      <c r="E62">
        <f>data!I63</f>
        <v>-1335</v>
      </c>
      <c r="F62">
        <f t="shared" si="2"/>
        <v>8745</v>
      </c>
      <c r="G62">
        <f t="shared" si="4"/>
        <v>2699</v>
      </c>
      <c r="H62" s="4">
        <f t="shared" si="0"/>
        <v>45688</v>
      </c>
      <c r="I62" s="3">
        <f t="shared" si="3"/>
        <v>-90020</v>
      </c>
      <c r="J62" s="3">
        <f t="shared" ref="J62:K62" si="16">SUM(D51:D62)</f>
        <v>-61242</v>
      </c>
      <c r="K62" s="3">
        <f t="shared" si="16"/>
        <v>-13754</v>
      </c>
      <c r="L62" s="5">
        <f t="shared" si="1"/>
        <v>961412</v>
      </c>
    </row>
    <row r="63" spans="2:12" x14ac:dyDescent="0.25">
      <c r="B63" s="2">
        <f>data!C64</f>
        <v>45716</v>
      </c>
      <c r="C63">
        <f>data!G64</f>
        <v>1008024</v>
      </c>
      <c r="D63">
        <f>data!H64</f>
        <v>31719</v>
      </c>
      <c r="E63">
        <f>data!I64</f>
        <v>19391</v>
      </c>
      <c r="F63">
        <f t="shared" si="2"/>
        <v>46612</v>
      </c>
      <c r="G63">
        <f t="shared" si="4"/>
        <v>51110</v>
      </c>
      <c r="H63" s="4">
        <f t="shared" si="0"/>
        <v>45716</v>
      </c>
      <c r="I63" s="3">
        <f t="shared" si="3"/>
        <v>-42424</v>
      </c>
      <c r="J63" s="3">
        <f t="shared" ref="J63:K63" si="17">SUM(D52:D63)</f>
        <v>-48430</v>
      </c>
      <c r="K63" s="3">
        <f t="shared" si="17"/>
        <v>23214</v>
      </c>
      <c r="L63" s="5">
        <f t="shared" si="1"/>
        <v>1008024</v>
      </c>
    </row>
    <row r="64" spans="2:12" x14ac:dyDescent="0.25">
      <c r="B64" s="2">
        <f>data!C65</f>
        <v>45747</v>
      </c>
      <c r="C64">
        <f>data!G65</f>
        <v>1011650</v>
      </c>
      <c r="D64">
        <f>data!H65</f>
        <v>3246</v>
      </c>
      <c r="E64">
        <f>data!I65</f>
        <v>-1493</v>
      </c>
      <c r="F64">
        <f t="shared" si="2"/>
        <v>3626</v>
      </c>
      <c r="G64">
        <f t="shared" si="4"/>
        <v>1753</v>
      </c>
      <c r="H64" s="4">
        <f t="shared" si="0"/>
        <v>45747</v>
      </c>
      <c r="I64" s="3">
        <f t="shared" si="3"/>
        <v>-57007</v>
      </c>
      <c r="J64" s="3">
        <f t="shared" ref="J64:K64" si="18">SUM(D53:D64)</f>
        <v>-58235</v>
      </c>
      <c r="K64" s="3">
        <f t="shared" si="18"/>
        <v>19387</v>
      </c>
      <c r="L64" s="5">
        <f t="shared" si="1"/>
        <v>1011650</v>
      </c>
    </row>
    <row r="65" spans="2:12" x14ac:dyDescent="0.25">
      <c r="B65" s="2">
        <f>data!C66</f>
        <v>45777</v>
      </c>
      <c r="C65">
        <f>data!G66</f>
        <v>1016551</v>
      </c>
      <c r="D65">
        <f>data!H66</f>
        <v>-2927</v>
      </c>
      <c r="E65">
        <f>data!I66</f>
        <v>4603</v>
      </c>
      <c r="F65">
        <f t="shared" si="2"/>
        <v>4901</v>
      </c>
      <c r="G65">
        <f t="shared" si="4"/>
        <v>1676</v>
      </c>
      <c r="H65" s="4">
        <f t="shared" si="0"/>
        <v>45777</v>
      </c>
      <c r="I65" s="3">
        <f t="shared" si="3"/>
        <v>-23261</v>
      </c>
      <c r="J65" s="3">
        <f t="shared" ref="J65:K65" si="19">SUM(D54:D65)</f>
        <v>-61408</v>
      </c>
      <c r="K65" s="3">
        <f t="shared" si="19"/>
        <v>53814</v>
      </c>
      <c r="L65" s="5">
        <f t="shared" si="1"/>
        <v>1016551</v>
      </c>
    </row>
    <row r="66" spans="2:12" x14ac:dyDescent="0.25">
      <c r="B66" s="2">
        <f>data!C67</f>
        <v>45808</v>
      </c>
      <c r="C66">
        <f>data!G67</f>
        <v>1019175</v>
      </c>
      <c r="D66">
        <f>data!H67</f>
        <v>13116</v>
      </c>
      <c r="E66">
        <f>data!I67</f>
        <v>-7994</v>
      </c>
      <c r="F66">
        <f t="shared" si="2"/>
        <v>2624</v>
      </c>
      <c r="G66">
        <f t="shared" si="4"/>
        <v>5122</v>
      </c>
      <c r="H66" s="4">
        <f t="shared" si="0"/>
        <v>45808</v>
      </c>
      <c r="I66" s="3">
        <f t="shared" si="3"/>
        <v>-24537</v>
      </c>
      <c r="J66" s="3">
        <f t="shared" ref="J66:K66" si="20">SUM(D55:D66)</f>
        <v>-48463</v>
      </c>
      <c r="K66" s="3">
        <f t="shared" si="20"/>
        <v>38568</v>
      </c>
      <c r="L66" s="5">
        <f t="shared" si="1"/>
        <v>1019175</v>
      </c>
    </row>
    <row r="67" spans="2:12" x14ac:dyDescent="0.25">
      <c r="B67" s="2">
        <f>data!C68</f>
        <v>45838</v>
      </c>
      <c r="C67">
        <f>data!G68</f>
        <v>1024309</v>
      </c>
      <c r="D67">
        <f>data!H68</f>
        <v>-3605</v>
      </c>
      <c r="E67">
        <f>data!I68</f>
        <v>13338</v>
      </c>
      <c r="F67">
        <f t="shared" si="2"/>
        <v>5134</v>
      </c>
      <c r="G67">
        <f t="shared" si="4"/>
        <v>9733</v>
      </c>
      <c r="H67" s="4">
        <f t="shared" ref="H67:H72" si="21">B67</f>
        <v>45838</v>
      </c>
      <c r="I67" s="3">
        <f t="shared" si="3"/>
        <v>7101</v>
      </c>
      <c r="J67" s="3">
        <f t="shared" ref="J67:K67" si="22">SUM(D56:D67)</f>
        <v>-15460</v>
      </c>
      <c r="K67" s="3">
        <f t="shared" si="22"/>
        <v>38539</v>
      </c>
      <c r="L67" s="5">
        <f t="shared" ref="L67:L72" si="23">C67</f>
        <v>1024309</v>
      </c>
    </row>
    <row r="68" spans="2:12" x14ac:dyDescent="0.25">
      <c r="B68" s="2">
        <f>data!C69</f>
        <v>45869</v>
      </c>
      <c r="C68">
        <f>data!G69</f>
        <v>1022688</v>
      </c>
      <c r="D68">
        <f>data!H69</f>
        <v>4053</v>
      </c>
      <c r="E68">
        <f>data!I69</f>
        <v>-5908</v>
      </c>
      <c r="F68">
        <f t="shared" ref="F68:F72" si="24">C68-C67</f>
        <v>-1621</v>
      </c>
      <c r="G68">
        <f t="shared" si="4"/>
        <v>-1855</v>
      </c>
      <c r="H68" s="4">
        <f t="shared" si="21"/>
        <v>45869</v>
      </c>
      <c r="I68" s="3">
        <f t="shared" si="3"/>
        <v>356</v>
      </c>
      <c r="J68" s="3">
        <f t="shared" ref="J68:K68" si="25">SUM(D57:D68)</f>
        <v>-504</v>
      </c>
      <c r="K68" s="3">
        <f t="shared" si="25"/>
        <v>15416</v>
      </c>
      <c r="L68" s="5">
        <f t="shared" si="23"/>
        <v>1022688</v>
      </c>
    </row>
    <row r="69" spans="2:12" x14ac:dyDescent="0.25">
      <c r="B69" s="2">
        <f>data!C70</f>
        <v>45900</v>
      </c>
      <c r="C69">
        <f>data!G70</f>
        <v>1048614</v>
      </c>
      <c r="D69">
        <f>data!H70</f>
        <v>15365</v>
      </c>
      <c r="E69">
        <f>data!I70</f>
        <v>6805</v>
      </c>
      <c r="F69">
        <f t="shared" si="24"/>
        <v>25926</v>
      </c>
      <c r="G69">
        <f t="shared" si="4"/>
        <v>22170</v>
      </c>
      <c r="H69" s="4">
        <f t="shared" si="21"/>
        <v>45900</v>
      </c>
      <c r="I69" s="3">
        <f t="shared" si="3"/>
        <v>32948</v>
      </c>
      <c r="J69" s="3">
        <f t="shared" ref="J69:K69" si="26">SUM(D58:D69)</f>
        <v>37182</v>
      </c>
      <c r="K69" s="3">
        <f t="shared" si="26"/>
        <v>7684</v>
      </c>
      <c r="L69" s="5">
        <f t="shared" si="23"/>
        <v>1048614</v>
      </c>
    </row>
    <row r="70" spans="2:12" x14ac:dyDescent="0.25">
      <c r="B70" s="2">
        <f>data!C71</f>
        <v>45930</v>
      </c>
      <c r="C70">
        <f>data!G71</f>
        <v>1056106</v>
      </c>
      <c r="D70">
        <f>data!H71</f>
        <v>5618</v>
      </c>
      <c r="E70">
        <f>data!I71</f>
        <v>5065</v>
      </c>
      <c r="F70">
        <f t="shared" si="24"/>
        <v>7492</v>
      </c>
      <c r="G70">
        <f t="shared" si="4"/>
        <v>10683</v>
      </c>
      <c r="H70" s="4">
        <f t="shared" si="21"/>
        <v>45930</v>
      </c>
      <c r="I70" s="3">
        <f t="shared" si="3"/>
        <v>63232</v>
      </c>
      <c r="J70" s="3">
        <f t="shared" ref="J70:K70" si="27">SUM(D59:D70)</f>
        <v>71936</v>
      </c>
      <c r="K70" s="3">
        <f t="shared" si="27"/>
        <v>9132</v>
      </c>
      <c r="L70" s="5">
        <f t="shared" si="23"/>
        <v>1056106</v>
      </c>
    </row>
    <row r="71" spans="2:12" x14ac:dyDescent="0.25">
      <c r="B71" s="2">
        <f>data!C72</f>
        <v>45961</v>
      </c>
      <c r="C71">
        <f>data!G72</f>
        <v>1064907</v>
      </c>
      <c r="D71">
        <f>data!H72</f>
        <v>6746</v>
      </c>
      <c r="E71">
        <f>data!I72</f>
        <v>560</v>
      </c>
      <c r="F71">
        <f t="shared" si="24"/>
        <v>8801</v>
      </c>
      <c r="G71">
        <f t="shared" si="4"/>
        <v>7306</v>
      </c>
      <c r="H71" s="4">
        <f t="shared" si="21"/>
        <v>45961</v>
      </c>
      <c r="I71" s="3">
        <f t="shared" si="3"/>
        <v>66668</v>
      </c>
      <c r="J71" s="3">
        <f t="shared" ref="J71:K71" si="28">SUM(D60:D71)</f>
        <v>47405</v>
      </c>
      <c r="K71" s="3">
        <f t="shared" si="28"/>
        <v>27199</v>
      </c>
      <c r="L71" s="5">
        <f t="shared" si="23"/>
        <v>1064907</v>
      </c>
    </row>
    <row r="72" spans="2:12" x14ac:dyDescent="0.25">
      <c r="B72" s="2">
        <f>data!C73</f>
        <v>45991</v>
      </c>
      <c r="C72">
        <f>data!G73</f>
        <v>1069309</v>
      </c>
      <c r="D72">
        <f>data!H73</f>
        <v>-1454</v>
      </c>
      <c r="E72">
        <f>data!I73</f>
        <v>3732</v>
      </c>
      <c r="F72">
        <f t="shared" si="24"/>
        <v>4402</v>
      </c>
      <c r="G72">
        <f t="shared" si="4"/>
        <v>2278</v>
      </c>
      <c r="H72" s="4">
        <f t="shared" si="21"/>
        <v>45991</v>
      </c>
      <c r="I72" s="3">
        <f t="shared" si="3"/>
        <v>89259</v>
      </c>
      <c r="J72" s="3">
        <f t="shared" ref="J72:K72" si="29">SUM(D61:D72)</f>
        <v>65678</v>
      </c>
      <c r="K72" s="3">
        <f t="shared" si="29"/>
        <v>21614</v>
      </c>
      <c r="L72" s="5">
        <f t="shared" si="23"/>
        <v>1069309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61de76f-3d5c-4174-917c-5ad4d06360cb}" enabled="0" method="" siteId="{761de76f-3d5c-4174-917c-5ad4d06360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LORETILO</dc:creator>
  <cp:lastModifiedBy>LORETI LORENZO (BANCOPOSTA FONDI SPA SGR)</cp:lastModifiedBy>
  <dcterms:created xsi:type="dcterms:W3CDTF">2026-02-13T09:54:28Z</dcterms:created>
  <dcterms:modified xsi:type="dcterms:W3CDTF">2026-02-13T11:25:46Z</dcterms:modified>
</cp:coreProperties>
</file>